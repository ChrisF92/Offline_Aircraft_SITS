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date1904="1" codeName="ThisWorkbook"/>
  <mc:AlternateContent xmlns:mc="http://schemas.openxmlformats.org/markup-compatibility/2006">
    <mc:Choice Requires="x15">
      <x15ac:absPath xmlns:x15ac="http://schemas.microsoft.com/office/spreadsheetml/2010/11/ac" url="E:\Aircraft Offline SITS\ZZ383\"/>
    </mc:Choice>
  </mc:AlternateContent>
  <xr:revisionPtr revIDLastSave="0" documentId="8_{DD45FFFD-7AE2-4B8A-82B7-6AAB5DBA97B2}" xr6:coauthVersionLast="47" xr6:coauthVersionMax="47" xr10:uidLastSave="{00000000-0000-0000-0000-000000000000}"/>
  <bookViews>
    <workbookView xWindow="-120" yWindow="-120" windowWidth="29040" windowHeight="15840" firstSheet="1" activeTab="4" xr2:uid="{0B3BB56F-2220-40DE-806E-24E74126B0B6}"/>
  </bookViews>
  <sheets>
    <sheet name="USAGE IMPORT" sheetId="30" state="hidden" r:id="rId1"/>
    <sheet name="Item Usage" sheetId="2" r:id="rId2"/>
    <sheet name="SITS IMPORT" sheetId="22" state="hidden" r:id="rId3"/>
    <sheet name="Initiate" sheetId="3" state="hidden" r:id="rId4"/>
    <sheet name="SITS" sheetId="13" r:id="rId5"/>
    <sheet name="Add Tasks" sheetId="29" r:id="rId6"/>
    <sheet name="Create WP" sheetId="12" r:id="rId7"/>
    <sheet name="Work Packages" sheetId="17" r:id="rId8"/>
    <sheet name="Extensions" sheetId="20" r:id="rId9"/>
    <sheet name="Deferrals" sheetId="24" r:id="rId10"/>
    <sheet name="WP_STATE" sheetId="18" state="hidden" r:id="rId11"/>
    <sheet name="Usage Tables" sheetId="21" state="hidden" r:id="rId12"/>
    <sheet name="AUDIT_LOG" sheetId="26" r:id="rId13"/>
    <sheet name="TODO" sheetId="31" r:id="rId14"/>
  </sheets>
  <functionGroups builtInGroupCount="19"/>
  <definedNames>
    <definedName name="_xlnm._FilterDatabase" localSheetId="1" hidden="1">'Item Usage'!$A$3:$BI$41</definedName>
    <definedName name="_xleta.CHOOSE" hidden="1" xlm="1">#NAME?</definedName>
    <definedName name="_xleta.COLUMN" hidden="1" xlm="1">#NAME?</definedName>
    <definedName name="_xleta.IF" hidden="1" xlm="1">#NAME?</definedName>
    <definedName name="_xleta.NOT" hidden="1" xlm="1">#NAME?</definedName>
    <definedName name="_xleta.UNIQUE" hidden="1" xlm="1">#NAME?</definedName>
    <definedName name="_xlpm.b" hidden="1" xlm="1">#NAME?</definedName>
    <definedName name="_xlpm.bo" hidden="1" xlm="1">#NAME?</definedName>
    <definedName name="_xlpm.bod" hidden="1" xlm="1">#NAME?</definedName>
    <definedName name="_xlpm.body" hidden="1" xlm="1">#NAME?</definedName>
    <definedName name="_xlpm.cols" hidden="1" xlm="1">#NAME?</definedName>
    <definedName name="_xlpm.init" hidden="1" xlm="1">#NAME?</definedName>
    <definedName name="_xlpm.s" hidden="1" xlm="1">#NAME?</definedName>
    <definedName name="_xlpm.sel" hidden="1" xlm="1">#NAME?</definedName>
    <definedName name="_xlpm.sr" hidden="1" xlm="1">#NAME?</definedName>
    <definedName name="_xlpm.src" hidden="1" xlm="1">#NAME?</definedName>
    <definedName name="Active_WP">'Work Packages'!$C$1</definedName>
    <definedName name="Extension_SNOW">Extensions!$D$1</definedName>
    <definedName name="Extension_SNOW_Deferrals" localSheetId="9">Deferrals!$D$1</definedName>
    <definedName name="New_WP_ORN">'Create WP'!$F$1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13" l="1"/>
  <c r="J5" i="13"/>
  <c r="M5" i="13" s="1"/>
  <c r="J6" i="13"/>
  <c r="M6" i="13" s="1"/>
  <c r="J7" i="13"/>
  <c r="M7" i="13" s="1"/>
  <c r="J8" i="13"/>
  <c r="M8" i="13" s="1"/>
  <c r="J9" i="13"/>
  <c r="M9" i="13" s="1"/>
  <c r="J10" i="13"/>
  <c r="M10" i="13" s="1"/>
  <c r="J27" i="13"/>
  <c r="M27" i="13" s="1"/>
  <c r="J72" i="13"/>
  <c r="M72" i="13" s="1"/>
  <c r="J16" i="13"/>
  <c r="M16" i="13" s="1"/>
  <c r="J17" i="13"/>
  <c r="M17" i="13" s="1"/>
  <c r="J18" i="13"/>
  <c r="M18" i="13" s="1"/>
  <c r="J19" i="13"/>
  <c r="M19" i="13" s="1"/>
  <c r="J47" i="13"/>
  <c r="M47" i="13" s="1"/>
  <c r="J48" i="13"/>
  <c r="M48" i="13" s="1"/>
  <c r="J28" i="13"/>
  <c r="M28" i="13" s="1"/>
  <c r="J12" i="13"/>
  <c r="M12" i="13" s="1"/>
  <c r="J11" i="13"/>
  <c r="M11" i="13" s="1"/>
  <c r="J13" i="13"/>
  <c r="M13" i="13" s="1"/>
  <c r="J14" i="13"/>
  <c r="M14" i="13" s="1"/>
  <c r="J15" i="13"/>
  <c r="M15" i="13" s="1"/>
  <c r="J20" i="13"/>
  <c r="M20" i="13" s="1"/>
  <c r="J21" i="13"/>
  <c r="M21" i="13" s="1"/>
  <c r="J22" i="13"/>
  <c r="M22" i="13" s="1"/>
  <c r="J23" i="13"/>
  <c r="M23" i="13" s="1"/>
  <c r="J24" i="13"/>
  <c r="M24" i="13" s="1"/>
  <c r="J25" i="13"/>
  <c r="M25" i="13" s="1"/>
  <c r="J26" i="13"/>
  <c r="M26" i="13" s="1"/>
  <c r="J29" i="13"/>
  <c r="M29" i="13" s="1"/>
  <c r="J30" i="13"/>
  <c r="M30" i="13" s="1"/>
  <c r="J31" i="13"/>
  <c r="M31" i="13" s="1"/>
  <c r="J32" i="13"/>
  <c r="M32" i="13" s="1"/>
  <c r="J33" i="13"/>
  <c r="M33" i="13" s="1"/>
  <c r="J34" i="13"/>
  <c r="M34" i="13" s="1"/>
  <c r="J35" i="13"/>
  <c r="M35" i="13" s="1"/>
  <c r="J36" i="13"/>
  <c r="M36" i="13" s="1"/>
  <c r="J37" i="13"/>
  <c r="M37" i="13" s="1"/>
  <c r="J38" i="13"/>
  <c r="M38" i="13" s="1"/>
  <c r="J39" i="13"/>
  <c r="M39" i="13" s="1"/>
  <c r="J40" i="13"/>
  <c r="M40" i="13" s="1"/>
  <c r="J41" i="13"/>
  <c r="M41" i="13" s="1"/>
  <c r="J42" i="13"/>
  <c r="M42" i="13" s="1"/>
  <c r="J43" i="13"/>
  <c r="M43" i="13" s="1"/>
  <c r="J44" i="13"/>
  <c r="M44" i="13" s="1"/>
  <c r="J45" i="13"/>
  <c r="M45" i="13" s="1"/>
  <c r="J46" i="13"/>
  <c r="M46" i="13" s="1"/>
  <c r="J49" i="13"/>
  <c r="M49" i="13" s="1"/>
  <c r="J50" i="13"/>
  <c r="M50" i="13" s="1"/>
  <c r="J51" i="13"/>
  <c r="M51" i="13" s="1"/>
  <c r="J52" i="13"/>
  <c r="M52" i="13" s="1"/>
  <c r="J53" i="13"/>
  <c r="M53" i="13" s="1"/>
  <c r="J54" i="13"/>
  <c r="M54" i="13" s="1"/>
  <c r="J55" i="13"/>
  <c r="M55" i="13" s="1"/>
  <c r="J56" i="13"/>
  <c r="M56" i="13" s="1"/>
  <c r="J57" i="13"/>
  <c r="M57" i="13" s="1"/>
  <c r="J58" i="13"/>
  <c r="M58" i="13" s="1"/>
  <c r="J59" i="13"/>
  <c r="M59" i="13" s="1"/>
  <c r="J60" i="13"/>
  <c r="M60" i="13" s="1"/>
  <c r="J61" i="13"/>
  <c r="M61" i="13" s="1"/>
  <c r="J62" i="13"/>
  <c r="M62" i="13" s="1"/>
  <c r="J63" i="13"/>
  <c r="M63" i="13" s="1"/>
  <c r="J64" i="13"/>
  <c r="M64" i="13" s="1"/>
  <c r="J65" i="13"/>
  <c r="M65" i="13" s="1"/>
  <c r="J66" i="13"/>
  <c r="M66" i="13" s="1"/>
  <c r="J67" i="13"/>
  <c r="M67" i="13" s="1"/>
  <c r="J68" i="13"/>
  <c r="M68" i="13" s="1"/>
  <c r="J69" i="13"/>
  <c r="M69" i="13" s="1"/>
  <c r="J70" i="13"/>
  <c r="M70" i="13" s="1"/>
  <c r="J71" i="13"/>
  <c r="M71" i="13" s="1"/>
  <c r="J85" i="13"/>
  <c r="M85" i="13" s="1"/>
  <c r="J86" i="13"/>
  <c r="M86" i="13" s="1"/>
  <c r="J87" i="13"/>
  <c r="M87" i="13" s="1"/>
  <c r="J88" i="13"/>
  <c r="M88" i="13" s="1"/>
  <c r="J89" i="13"/>
  <c r="M89" i="13" s="1"/>
  <c r="J90" i="13"/>
  <c r="M90" i="13" s="1"/>
  <c r="J91" i="13"/>
  <c r="M91" i="13" s="1"/>
  <c r="J92" i="13"/>
  <c r="M92" i="13" s="1"/>
  <c r="J93" i="13"/>
  <c r="M93" i="13" s="1"/>
  <c r="J94" i="13"/>
  <c r="M94" i="13" s="1"/>
  <c r="J95" i="13"/>
  <c r="M95" i="13" s="1"/>
  <c r="J96" i="13"/>
  <c r="M96" i="13" s="1"/>
  <c r="J97" i="13"/>
  <c r="M97" i="13" s="1"/>
  <c r="J98" i="13"/>
  <c r="M98" i="13" s="1"/>
  <c r="J99" i="13"/>
  <c r="M99" i="13" s="1"/>
  <c r="J100" i="13"/>
  <c r="M100" i="13" s="1"/>
  <c r="J101" i="13"/>
  <c r="M101" i="13" s="1"/>
  <c r="J102" i="13"/>
  <c r="M102" i="13" s="1"/>
  <c r="J103" i="13"/>
  <c r="M103" i="13" s="1"/>
  <c r="J177" i="13"/>
  <c r="M177" i="13" s="1"/>
  <c r="J178" i="13"/>
  <c r="M178" i="13" s="1"/>
  <c r="J179" i="13"/>
  <c r="M179" i="13" s="1"/>
  <c r="J180" i="13"/>
  <c r="M180" i="13" s="1"/>
  <c r="J105" i="13"/>
  <c r="M105" i="13" s="1"/>
  <c r="J104" i="13"/>
  <c r="M104" i="13" s="1"/>
  <c r="J106" i="13"/>
  <c r="M106" i="13" s="1"/>
  <c r="J107" i="13"/>
  <c r="M107" i="13" s="1"/>
  <c r="J108" i="13"/>
  <c r="M108" i="13" s="1"/>
  <c r="J109" i="13"/>
  <c r="M109" i="13" s="1"/>
  <c r="J110" i="13"/>
  <c r="M110" i="13" s="1"/>
  <c r="J111" i="13"/>
  <c r="M111" i="13" s="1"/>
  <c r="J112" i="13"/>
  <c r="M112" i="13" s="1"/>
  <c r="J113" i="13"/>
  <c r="M113" i="13" s="1"/>
  <c r="J114" i="13"/>
  <c r="M114" i="13" s="1"/>
  <c r="J115" i="13"/>
  <c r="M115" i="13" s="1"/>
  <c r="J116" i="13"/>
  <c r="M116" i="13" s="1"/>
  <c r="J117" i="13"/>
  <c r="M117" i="13" s="1"/>
  <c r="J118" i="13"/>
  <c r="M118" i="13" s="1"/>
  <c r="J119" i="13"/>
  <c r="M119" i="13" s="1"/>
  <c r="J120" i="13"/>
  <c r="M120" i="13" s="1"/>
  <c r="J121" i="13"/>
  <c r="M121" i="13" s="1"/>
  <c r="J122" i="13"/>
  <c r="M122" i="13" s="1"/>
  <c r="J73" i="13"/>
  <c r="M73" i="13" s="1"/>
  <c r="J74" i="13"/>
  <c r="M74" i="13" s="1"/>
  <c r="J123" i="13"/>
  <c r="M123" i="13" s="1"/>
  <c r="J124" i="13"/>
  <c r="M124" i="13" s="1"/>
  <c r="J125" i="13"/>
  <c r="M125" i="13" s="1"/>
  <c r="J126" i="13"/>
  <c r="M126" i="13" s="1"/>
  <c r="J127" i="13"/>
  <c r="M127" i="13" s="1"/>
  <c r="J128" i="13"/>
  <c r="M128" i="13" s="1"/>
  <c r="J75" i="13"/>
  <c r="M75" i="13" s="1"/>
  <c r="J76" i="13"/>
  <c r="M76" i="13" s="1"/>
  <c r="J77" i="13"/>
  <c r="M77" i="13" s="1"/>
  <c r="J78" i="13"/>
  <c r="M78" i="13" s="1"/>
  <c r="J79" i="13"/>
  <c r="M79" i="13" s="1"/>
  <c r="J80" i="13"/>
  <c r="M80" i="13" s="1"/>
  <c r="J81" i="13"/>
  <c r="M81" i="13" s="1"/>
  <c r="J82" i="13"/>
  <c r="M82" i="13" s="1"/>
  <c r="J83" i="13"/>
  <c r="M83" i="13" s="1"/>
  <c r="J84" i="13"/>
  <c r="M84" i="13" s="1"/>
  <c r="J139" i="13"/>
  <c r="M139" i="13" s="1"/>
  <c r="J140" i="13"/>
  <c r="M140" i="13" s="1"/>
  <c r="J141" i="13"/>
  <c r="M141" i="13" s="1"/>
  <c r="J142" i="13"/>
  <c r="M142" i="13" s="1"/>
  <c r="J143" i="13"/>
  <c r="M143" i="13" s="1"/>
  <c r="J144" i="13"/>
  <c r="M144" i="13" s="1"/>
  <c r="J145" i="13"/>
  <c r="M145" i="13" s="1"/>
  <c r="J146" i="13"/>
  <c r="M146" i="13" s="1"/>
  <c r="J147" i="13"/>
  <c r="M147" i="13" s="1"/>
  <c r="J148" i="13"/>
  <c r="M148" i="13" s="1"/>
  <c r="J149" i="13"/>
  <c r="M149" i="13" s="1"/>
  <c r="J150" i="13"/>
  <c r="M150" i="13" s="1"/>
  <c r="J151" i="13"/>
  <c r="M151" i="13" s="1"/>
  <c r="J152" i="13"/>
  <c r="M152" i="13" s="1"/>
  <c r="J153" i="13"/>
  <c r="M153" i="13" s="1"/>
  <c r="J154" i="13"/>
  <c r="M154" i="13" s="1"/>
  <c r="J155" i="13"/>
  <c r="M155" i="13" s="1"/>
  <c r="J156" i="13"/>
  <c r="M156" i="13" s="1"/>
  <c r="J157" i="13"/>
  <c r="M157" i="13" s="1"/>
  <c r="J158" i="13"/>
  <c r="M158" i="13" s="1"/>
  <c r="J159" i="13"/>
  <c r="M159" i="13" s="1"/>
  <c r="J160" i="13"/>
  <c r="M160" i="13" s="1"/>
  <c r="J161" i="13"/>
  <c r="M161" i="13" s="1"/>
  <c r="J162" i="13"/>
  <c r="M162" i="13" s="1"/>
  <c r="J163" i="13"/>
  <c r="M163" i="13" s="1"/>
  <c r="J164" i="13"/>
  <c r="M164" i="13" s="1"/>
  <c r="J165" i="13"/>
  <c r="M165" i="13" s="1"/>
  <c r="J166" i="13"/>
  <c r="M166" i="13" s="1"/>
  <c r="J167" i="13"/>
  <c r="M167" i="13" s="1"/>
  <c r="J168" i="13"/>
  <c r="M168" i="13" s="1"/>
  <c r="J169" i="13"/>
  <c r="M169" i="13" s="1"/>
  <c r="J170" i="13"/>
  <c r="M170" i="13" s="1"/>
  <c r="J171" i="13"/>
  <c r="M171" i="13" s="1"/>
  <c r="J172" i="13"/>
  <c r="M172" i="13" s="1"/>
  <c r="J173" i="13"/>
  <c r="M173" i="13" s="1"/>
  <c r="J174" i="13"/>
  <c r="M174" i="13" s="1"/>
  <c r="J175" i="13"/>
  <c r="M175" i="13" s="1"/>
  <c r="J176" i="13"/>
  <c r="M176" i="13" s="1"/>
  <c r="J4" i="3"/>
  <c r="I177" i="13"/>
  <c r="I178" i="13"/>
  <c r="I179" i="13"/>
  <c r="I180" i="13"/>
  <c r="I181" i="13"/>
  <c r="I182" i="13"/>
  <c r="I105" i="13"/>
  <c r="I104" i="13"/>
  <c r="I106" i="13"/>
  <c r="I107" i="13"/>
  <c r="I108" i="13"/>
  <c r="I109" i="13"/>
  <c r="I110" i="13"/>
  <c r="I111" i="13"/>
  <c r="I112" i="13"/>
  <c r="I113" i="13"/>
  <c r="I114" i="13"/>
  <c r="I115" i="13"/>
  <c r="I116" i="13"/>
  <c r="I117" i="13"/>
  <c r="I118" i="13"/>
  <c r="I119" i="13"/>
  <c r="I120" i="13"/>
  <c r="I121" i="13"/>
  <c r="I136" i="13"/>
  <c r="I137" i="13"/>
  <c r="I138" i="13"/>
  <c r="I122" i="13"/>
  <c r="I73" i="13"/>
  <c r="I74" i="13"/>
  <c r="I123" i="13"/>
  <c r="I124" i="13"/>
  <c r="I125" i="13"/>
  <c r="I126" i="13"/>
  <c r="I127" i="13"/>
  <c r="I129" i="13"/>
  <c r="I130" i="13"/>
  <c r="I131" i="13"/>
  <c r="I132" i="13"/>
  <c r="I133" i="13"/>
  <c r="I134" i="13"/>
  <c r="I135" i="13"/>
  <c r="I128" i="13"/>
  <c r="I75" i="13"/>
  <c r="I76" i="13"/>
  <c r="I77" i="13"/>
  <c r="I78" i="13"/>
  <c r="I79" i="13"/>
  <c r="I80" i="13"/>
  <c r="I81" i="13"/>
  <c r="I82" i="13"/>
  <c r="I83" i="13"/>
  <c r="I84"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N5" i="13"/>
  <c r="N6" i="13"/>
  <c r="N7" i="13"/>
  <c r="N8" i="13"/>
  <c r="N9" i="13"/>
  <c r="N10" i="13"/>
  <c r="N27" i="13"/>
  <c r="N72" i="13"/>
  <c r="N16" i="13"/>
  <c r="N17" i="13"/>
  <c r="N18" i="13"/>
  <c r="N19" i="13"/>
  <c r="N47" i="13"/>
  <c r="N48" i="13"/>
  <c r="N28" i="13"/>
  <c r="N12" i="13"/>
  <c r="N11" i="13"/>
  <c r="N13" i="13"/>
  <c r="N14" i="13"/>
  <c r="N15" i="13"/>
  <c r="N20" i="13"/>
  <c r="N21" i="13"/>
  <c r="N22" i="13"/>
  <c r="N23" i="13"/>
  <c r="N24" i="13"/>
  <c r="N25" i="13"/>
  <c r="N26" i="13"/>
  <c r="N29" i="13"/>
  <c r="N30" i="13"/>
  <c r="N31" i="13"/>
  <c r="N32" i="13"/>
  <c r="N33" i="13"/>
  <c r="N34" i="13"/>
  <c r="N35" i="13"/>
  <c r="N36" i="13"/>
  <c r="N37" i="13"/>
  <c r="N38" i="13"/>
  <c r="N39" i="13"/>
  <c r="N40" i="13"/>
  <c r="N41" i="13"/>
  <c r="N42" i="13"/>
  <c r="N43" i="13"/>
  <c r="N44" i="13"/>
  <c r="N45" i="13"/>
  <c r="N46" i="13"/>
  <c r="N49" i="13"/>
  <c r="N50" i="13"/>
  <c r="N51" i="13"/>
  <c r="N52" i="13"/>
  <c r="N53" i="13"/>
  <c r="N54" i="13"/>
  <c r="N55" i="13"/>
  <c r="N56" i="13"/>
  <c r="N57" i="13"/>
  <c r="N58" i="13"/>
  <c r="N59" i="13"/>
  <c r="N60" i="13"/>
  <c r="N61" i="13"/>
  <c r="N62" i="13"/>
  <c r="N63" i="13"/>
  <c r="N64" i="13"/>
  <c r="N65" i="13"/>
  <c r="N66" i="13"/>
  <c r="N67" i="13"/>
  <c r="N68" i="13"/>
  <c r="N69" i="13"/>
  <c r="N70" i="13"/>
  <c r="N71" i="13"/>
  <c r="N85" i="13"/>
  <c r="N86" i="13"/>
  <c r="N87" i="13"/>
  <c r="N88" i="13"/>
  <c r="N89" i="13"/>
  <c r="N90" i="13"/>
  <c r="N91" i="13"/>
  <c r="N92" i="13"/>
  <c r="N93" i="13"/>
  <c r="N94" i="13"/>
  <c r="N95" i="13"/>
  <c r="N96" i="13"/>
  <c r="N97" i="13"/>
  <c r="N98" i="13"/>
  <c r="N99" i="13"/>
  <c r="N100" i="13"/>
  <c r="N101" i="13"/>
  <c r="N102" i="13"/>
  <c r="N103" i="13"/>
  <c r="N165" i="13"/>
  <c r="N166" i="13"/>
  <c r="N167" i="13"/>
  <c r="N168" i="13"/>
  <c r="N169" i="13"/>
  <c r="N170" i="13"/>
  <c r="N172" i="13"/>
  <c r="N171" i="13"/>
  <c r="N173" i="13"/>
  <c r="N174" i="13"/>
  <c r="N175" i="13"/>
  <c r="N176" i="13"/>
  <c r="N178" i="13"/>
  <c r="N177" i="13"/>
  <c r="N179" i="13"/>
  <c r="N180" i="13"/>
  <c r="N181" i="13"/>
  <c r="N182" i="13"/>
  <c r="N105" i="13"/>
  <c r="N104" i="13"/>
  <c r="N106" i="13"/>
  <c r="N107" i="13"/>
  <c r="N108" i="13"/>
  <c r="N109" i="13"/>
  <c r="N117" i="13"/>
  <c r="N118" i="13"/>
  <c r="N119" i="13"/>
  <c r="N110" i="13"/>
  <c r="N120" i="13"/>
  <c r="N121" i="13"/>
  <c r="N136" i="13"/>
  <c r="N111" i="13"/>
  <c r="N112" i="13"/>
  <c r="N113" i="13"/>
  <c r="N114" i="13"/>
  <c r="N115" i="13"/>
  <c r="N123" i="13"/>
  <c r="N124" i="13"/>
  <c r="N125" i="13"/>
  <c r="N116" i="13"/>
  <c r="N126" i="13"/>
  <c r="N127" i="13"/>
  <c r="N129" i="13"/>
  <c r="N137" i="13"/>
  <c r="N138" i="13"/>
  <c r="N122" i="13"/>
  <c r="N73" i="13"/>
  <c r="N74" i="13"/>
  <c r="N130" i="13"/>
  <c r="N131" i="13"/>
  <c r="N132" i="13"/>
  <c r="N133" i="13"/>
  <c r="N134" i="13"/>
  <c r="N135" i="13"/>
  <c r="N75" i="13"/>
  <c r="N76" i="13"/>
  <c r="N77" i="13"/>
  <c r="N78" i="13"/>
  <c r="N79" i="13"/>
  <c r="N80" i="13"/>
  <c r="N81" i="13"/>
  <c r="N82" i="13"/>
  <c r="N83" i="13"/>
  <c r="N84"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L105" i="13" a="1"/>
  <c r="L108" i="13" a="1"/>
  <c r="L119" i="13" a="1"/>
  <c r="L136" i="13" a="1"/>
  <c r="L114" i="13" a="1"/>
  <c r="L125" i="13" a="1"/>
  <c r="L129" i="13" a="1"/>
  <c r="L73" i="13" a="1"/>
  <c r="L131" i="13" a="1"/>
  <c r="L135" i="13" a="1"/>
  <c r="L77" i="13" a="1"/>
  <c r="L81" i="13" a="1"/>
  <c r="L104" i="13" a="1"/>
  <c r="L109" i="13" a="1"/>
  <c r="L110" i="13" a="1"/>
  <c r="L111" i="13" a="1"/>
  <c r="L115" i="13" a="1"/>
  <c r="L116" i="13" a="1"/>
  <c r="L137" i="13" a="1"/>
  <c r="L132" i="13" a="1"/>
  <c r="L128" i="13" a="1"/>
  <c r="L78" i="13" a="1"/>
  <c r="L82" i="13" a="1"/>
  <c r="L106" i="13" a="1"/>
  <c r="L117" i="13" a="1"/>
  <c r="L120" i="13" a="1"/>
  <c r="L112" i="13" a="1"/>
  <c r="L123" i="13" a="1"/>
  <c r="L126" i="13" a="1"/>
  <c r="L138" i="13" a="1"/>
  <c r="L74" i="13" a="1"/>
  <c r="L133" i="13" a="1"/>
  <c r="L75" i="13" a="1"/>
  <c r="L79" i="13" a="1"/>
  <c r="L83" i="13" a="1"/>
  <c r="L107" i="13" a="1"/>
  <c r="L118" i="13" a="1"/>
  <c r="L121" i="13" a="1"/>
  <c r="L113" i="13" a="1"/>
  <c r="L124" i="13" a="1"/>
  <c r="L127" i="13" a="1"/>
  <c r="L122" i="13" a="1"/>
  <c r="L130" i="13" a="1"/>
  <c r="L134" i="13" a="1"/>
  <c r="L76" i="13" a="1"/>
  <c r="L80" i="13" a="1"/>
  <c r="L84" i="13" a="1"/>
  <c r="L156" i="13" a="1"/>
  <c r="L146" i="13" a="1"/>
  <c r="L167" i="13" a="1"/>
  <c r="L162" i="13" a="1"/>
  <c r="L148" i="13" a="1"/>
  <c r="L180" i="13" a="1"/>
  <c r="L160" i="13" a="1"/>
  <c r="L172" i="13" a="1"/>
  <c r="L145" i="13" a="1"/>
  <c r="L164" i="13" a="1"/>
  <c r="L141" i="13" a="1"/>
  <c r="L142" i="13" a="1"/>
  <c r="L149" i="13" a="1"/>
  <c r="L177" i="13" a="1"/>
  <c r="L171" i="13" a="1"/>
  <c r="L174" i="13" a="1"/>
  <c r="L163" i="13" a="1"/>
  <c r="L147" i="13" a="1"/>
  <c r="L181" i="13" a="1"/>
  <c r="L165" i="13" a="1"/>
  <c r="L178" i="13" a="1"/>
  <c r="L158" i="13" a="1"/>
  <c r="L182" i="13" a="1"/>
  <c r="L166" i="13" a="1"/>
  <c r="L169" i="13" a="1"/>
  <c r="L153" i="13" a="1"/>
  <c r="L168" i="13" a="1"/>
  <c r="L150" i="13" a="1"/>
  <c r="L159" i="13" a="1"/>
  <c r="L157" i="13" a="1"/>
  <c r="L152" i="13" a="1"/>
  <c r="L161" i="13" a="1"/>
  <c r="L170" i="13" a="1"/>
  <c r="L151" i="13" a="1"/>
  <c r="L155" i="13" a="1"/>
  <c r="L139" i="13" a="1"/>
  <c r="L176" i="13" a="1"/>
  <c r="L175" i="13" a="1"/>
  <c r="L179" i="13" a="1"/>
  <c r="L173" i="13" a="1"/>
  <c r="L143" i="13" a="1"/>
  <c r="L154" i="13" a="1"/>
  <c r="L144" i="13" a="1"/>
  <c r="L140" i="13" a="1"/>
  <c r="L162" i="13" l="1"/>
  <c r="L158" i="13"/>
  <c r="L154" i="13"/>
  <c r="L150" i="13"/>
  <c r="L146" i="13"/>
  <c r="L142" i="13"/>
  <c r="L84" i="13"/>
  <c r="L80" i="13"/>
  <c r="L76" i="13"/>
  <c r="L134" i="13"/>
  <c r="L130" i="13"/>
  <c r="L122" i="13"/>
  <c r="L127" i="13"/>
  <c r="L124" i="13"/>
  <c r="L113" i="13"/>
  <c r="L121" i="13"/>
  <c r="L118" i="13"/>
  <c r="L107" i="13"/>
  <c r="L182" i="13"/>
  <c r="L177" i="13"/>
  <c r="L174" i="13"/>
  <c r="L170" i="13"/>
  <c r="L166" i="13"/>
  <c r="L161" i="13"/>
  <c r="L157" i="13"/>
  <c r="L153" i="13"/>
  <c r="L149" i="13"/>
  <c r="L145" i="13"/>
  <c r="L141" i="13"/>
  <c r="L83" i="13"/>
  <c r="L79" i="13"/>
  <c r="L75" i="13"/>
  <c r="L133" i="13"/>
  <c r="L74" i="13"/>
  <c r="L138" i="13"/>
  <c r="L126" i="13"/>
  <c r="L123" i="13"/>
  <c r="L112" i="13"/>
  <c r="L120" i="13"/>
  <c r="L117" i="13"/>
  <c r="L106" i="13"/>
  <c r="L181" i="13"/>
  <c r="L178" i="13"/>
  <c r="L173" i="13"/>
  <c r="L169" i="13"/>
  <c r="L165" i="13"/>
  <c r="L164" i="13"/>
  <c r="L160" i="13"/>
  <c r="L156" i="13"/>
  <c r="L152" i="13"/>
  <c r="L148" i="13"/>
  <c r="L144" i="13"/>
  <c r="L140" i="13"/>
  <c r="L82" i="13"/>
  <c r="L78" i="13"/>
  <c r="L128" i="13"/>
  <c r="L132" i="13"/>
  <c r="L137" i="13"/>
  <c r="L116" i="13"/>
  <c r="L115" i="13"/>
  <c r="L111" i="13"/>
  <c r="L110" i="13"/>
  <c r="L109" i="13"/>
  <c r="L104" i="13"/>
  <c r="L180" i="13"/>
  <c r="L176" i="13"/>
  <c r="L171" i="13"/>
  <c r="L168" i="13"/>
  <c r="L163" i="13"/>
  <c r="L159" i="13"/>
  <c r="L155" i="13"/>
  <c r="L151" i="13"/>
  <c r="L147" i="13"/>
  <c r="L143" i="13"/>
  <c r="L139" i="13"/>
  <c r="L81" i="13"/>
  <c r="L77" i="13"/>
  <c r="L135" i="13"/>
  <c r="L131" i="13"/>
  <c r="L73" i="13"/>
  <c r="L129" i="13"/>
  <c r="L125" i="13"/>
  <c r="L114" i="13"/>
  <c r="L136" i="13"/>
  <c r="L119" i="13"/>
  <c r="L108" i="13"/>
  <c r="L105" i="13"/>
  <c r="L179" i="13"/>
  <c r="L175" i="13"/>
  <c r="L172" i="13"/>
  <c r="L167" i="13"/>
  <c r="I124" i="3"/>
  <c r="D124" i="3" s="1" a="1"/>
  <c r="D124" i="3" s="1"/>
  <c r="I125" i="3"/>
  <c r="D125" i="3" s="1" a="1"/>
  <c r="D125" i="3" s="1"/>
  <c r="I126" i="3"/>
  <c r="D126" i="3" s="1" a="1"/>
  <c r="D126" i="3" s="1"/>
  <c r="I127" i="3"/>
  <c r="D127" i="3" s="1" a="1"/>
  <c r="D127" i="3" s="1"/>
  <c r="I128" i="3"/>
  <c r="D128" i="3" s="1" a="1"/>
  <c r="D128" i="3" s="1"/>
  <c r="I129" i="3"/>
  <c r="D129" i="3" s="1" a="1"/>
  <c r="D129" i="3" s="1"/>
  <c r="I130" i="3"/>
  <c r="D130" i="3" s="1" a="1"/>
  <c r="D130" i="3" s="1"/>
  <c r="I131" i="3"/>
  <c r="D131" i="3" s="1" a="1"/>
  <c r="D131" i="3" s="1"/>
  <c r="I132" i="3"/>
  <c r="D132" i="3" s="1" a="1"/>
  <c r="D132" i="3" s="1"/>
  <c r="I133" i="3"/>
  <c r="D133" i="3" s="1" a="1"/>
  <c r="D133" i="3" s="1"/>
  <c r="I134" i="3"/>
  <c r="D134" i="3" s="1" a="1"/>
  <c r="D134" i="3" s="1"/>
  <c r="I135" i="3"/>
  <c r="D135" i="3" s="1" a="1"/>
  <c r="D135" i="3" s="1"/>
  <c r="I136" i="3"/>
  <c r="D136" i="3" s="1" a="1"/>
  <c r="D136" i="3" s="1"/>
  <c r="I137" i="3"/>
  <c r="D137" i="3" s="1" a="1"/>
  <c r="D137" i="3" s="1"/>
  <c r="I138" i="3"/>
  <c r="D138" i="3" s="1" a="1"/>
  <c r="D138" i="3" s="1"/>
  <c r="I139" i="3"/>
  <c r="D139" i="3" s="1" a="1"/>
  <c r="D139" i="3" s="1"/>
  <c r="I140" i="3"/>
  <c r="D140" i="3" s="1" a="1"/>
  <c r="D140" i="3" s="1"/>
  <c r="I141" i="3"/>
  <c r="D141" i="3" s="1" a="1"/>
  <c r="D141" i="3" s="1"/>
  <c r="I142" i="3"/>
  <c r="D142" i="3" s="1" a="1"/>
  <c r="D142" i="3" s="1"/>
  <c r="I143" i="3"/>
  <c r="D143" i="3" s="1" a="1"/>
  <c r="D143" i="3" s="1"/>
  <c r="I144" i="3"/>
  <c r="D144" i="3" s="1" a="1"/>
  <c r="D144" i="3" s="1"/>
  <c r="I145" i="3"/>
  <c r="D145" i="3" s="1" a="1"/>
  <c r="D145" i="3" s="1"/>
  <c r="I146" i="3"/>
  <c r="D146" i="3" s="1" a="1"/>
  <c r="D146" i="3" s="1"/>
  <c r="I147" i="3"/>
  <c r="D147" i="3" s="1" a="1"/>
  <c r="D147" i="3" s="1"/>
  <c r="I148" i="3"/>
  <c r="D148" i="3" s="1" a="1"/>
  <c r="D148" i="3" s="1"/>
  <c r="I149" i="3"/>
  <c r="D149" i="3" s="1" a="1"/>
  <c r="D149" i="3" s="1"/>
  <c r="I150" i="3"/>
  <c r="D150" i="3" s="1" a="1"/>
  <c r="D150" i="3" s="1"/>
  <c r="I151" i="3"/>
  <c r="D151" i="3" s="1" a="1"/>
  <c r="D151" i="3" s="1"/>
  <c r="I152" i="3"/>
  <c r="D152" i="3" s="1" a="1"/>
  <c r="D152" i="3" s="1"/>
  <c r="I153" i="3"/>
  <c r="D153" i="3" s="1" a="1"/>
  <c r="D153" i="3" s="1"/>
  <c r="I154" i="3"/>
  <c r="D154" i="3" s="1" a="1"/>
  <c r="D154" i="3" s="1"/>
  <c r="I155" i="3"/>
  <c r="D155" i="3" s="1" a="1"/>
  <c r="D155" i="3" s="1"/>
  <c r="I156" i="3"/>
  <c r="D156" i="3" s="1" a="1"/>
  <c r="D156" i="3" s="1"/>
  <c r="I157" i="3"/>
  <c r="D157" i="3" s="1" a="1"/>
  <c r="D157" i="3" s="1"/>
  <c r="I158" i="3"/>
  <c r="D158" i="3" s="1" a="1"/>
  <c r="D158" i="3" s="1"/>
  <c r="I159" i="3"/>
  <c r="D159" i="3" s="1" a="1"/>
  <c r="D159" i="3" s="1"/>
  <c r="I160" i="3"/>
  <c r="D160" i="3" s="1" a="1"/>
  <c r="D160" i="3" s="1"/>
  <c r="I161" i="3"/>
  <c r="D161" i="3" s="1" a="1"/>
  <c r="D161" i="3" s="1"/>
  <c r="I162" i="3"/>
  <c r="D162" i="3" s="1" a="1"/>
  <c r="D162" i="3" s="1"/>
  <c r="I163" i="3"/>
  <c r="D163" i="3" s="1" a="1"/>
  <c r="D163" i="3" s="1"/>
  <c r="I164" i="3"/>
  <c r="D164" i="3" s="1" a="1"/>
  <c r="D164" i="3" s="1"/>
  <c r="I165" i="3"/>
  <c r="D165" i="3" s="1" a="1"/>
  <c r="D165" i="3" s="1"/>
  <c r="I166" i="3"/>
  <c r="D166" i="3" s="1" a="1"/>
  <c r="D166" i="3" s="1"/>
  <c r="I167" i="3"/>
  <c r="D167" i="3" s="1" a="1"/>
  <c r="D167" i="3" s="1"/>
  <c r="I168" i="3"/>
  <c r="D168" i="3" s="1" a="1"/>
  <c r="D168" i="3" s="1"/>
  <c r="I169" i="3"/>
  <c r="D169" i="3" s="1" a="1"/>
  <c r="D169" i="3" s="1"/>
  <c r="I170" i="3"/>
  <c r="D170" i="3" s="1" a="1"/>
  <c r="D170" i="3" s="1"/>
  <c r="I171" i="3"/>
  <c r="D171" i="3" s="1" a="1"/>
  <c r="D171" i="3" s="1"/>
  <c r="I172" i="3"/>
  <c r="D172" i="3" s="1" a="1"/>
  <c r="D172" i="3" s="1"/>
  <c r="I173" i="3"/>
  <c r="D173" i="3" s="1" a="1"/>
  <c r="D173" i="3" s="1"/>
  <c r="I174" i="3"/>
  <c r="D174" i="3" s="1" a="1"/>
  <c r="D174" i="3" s="1"/>
  <c r="I175" i="3"/>
  <c r="D175" i="3" s="1" a="1"/>
  <c r="D175" i="3" s="1"/>
  <c r="I176" i="3"/>
  <c r="D176" i="3" s="1" a="1"/>
  <c r="D176" i="3" s="1"/>
  <c r="I177" i="3"/>
  <c r="D177" i="3" s="1" a="1"/>
  <c r="D177" i="3" s="1"/>
  <c r="I178" i="3"/>
  <c r="D178" i="3" s="1" a="1"/>
  <c r="D178" i="3" s="1"/>
  <c r="I179" i="3"/>
  <c r="D179" i="3" s="1" a="1"/>
  <c r="D179" i="3" s="1"/>
  <c r="I180" i="3"/>
  <c r="D180" i="3" s="1" a="1"/>
  <c r="D180" i="3" s="1"/>
  <c r="I181" i="3"/>
  <c r="D181" i="3" s="1" a="1"/>
  <c r="D181" i="3" s="1"/>
  <c r="I182" i="3"/>
  <c r="D182" i="3" s="1" a="1"/>
  <c r="D182" i="3" s="1"/>
  <c r="I183" i="3"/>
  <c r="D183" i="3" s="1" a="1"/>
  <c r="D183" i="3" s="1"/>
  <c r="J124" i="3"/>
  <c r="E124" i="3" s="1"/>
  <c r="J125" i="3"/>
  <c r="E125" i="3" s="1"/>
  <c r="J126" i="3"/>
  <c r="E126" i="3" s="1"/>
  <c r="J127" i="3"/>
  <c r="E127" i="3" s="1"/>
  <c r="J128" i="3"/>
  <c r="E128" i="3" s="1"/>
  <c r="J129" i="3"/>
  <c r="E129" i="3" s="1"/>
  <c r="J130" i="3"/>
  <c r="E130" i="3" s="1"/>
  <c r="J131" i="3"/>
  <c r="E131" i="3" s="1"/>
  <c r="J132" i="3"/>
  <c r="E132" i="3" s="1"/>
  <c r="J133" i="3"/>
  <c r="E133" i="3" s="1"/>
  <c r="J134" i="3"/>
  <c r="E134" i="3" s="1"/>
  <c r="J135" i="3"/>
  <c r="E135" i="3" s="1"/>
  <c r="J136" i="3"/>
  <c r="E136" i="3" s="1"/>
  <c r="J137" i="3"/>
  <c r="E137" i="3" s="1"/>
  <c r="J138" i="3"/>
  <c r="E138" i="3" s="1"/>
  <c r="J139" i="3"/>
  <c r="E139" i="3" s="1"/>
  <c r="J140" i="3"/>
  <c r="E140" i="3" s="1"/>
  <c r="J141" i="3"/>
  <c r="E141" i="3" s="1"/>
  <c r="J142" i="3"/>
  <c r="E142" i="3" s="1"/>
  <c r="J143" i="3"/>
  <c r="E143" i="3" s="1"/>
  <c r="J144" i="3"/>
  <c r="E144" i="3" s="1"/>
  <c r="J145" i="3"/>
  <c r="E145" i="3" s="1"/>
  <c r="J146" i="3"/>
  <c r="E146" i="3" s="1"/>
  <c r="J147" i="3"/>
  <c r="E147" i="3" s="1"/>
  <c r="J148" i="3"/>
  <c r="E148" i="3" s="1"/>
  <c r="J149" i="3"/>
  <c r="E149" i="3" s="1"/>
  <c r="J150" i="3"/>
  <c r="E150" i="3" s="1"/>
  <c r="J151" i="3"/>
  <c r="E151" i="3" s="1"/>
  <c r="J152" i="3"/>
  <c r="E152" i="3" s="1"/>
  <c r="J153" i="3"/>
  <c r="E153" i="3" s="1"/>
  <c r="J154" i="3"/>
  <c r="E154" i="3" s="1"/>
  <c r="J155" i="3"/>
  <c r="E155" i="3" s="1"/>
  <c r="J156" i="3"/>
  <c r="E156" i="3" s="1"/>
  <c r="J157" i="3"/>
  <c r="E157" i="3" s="1"/>
  <c r="J158" i="3"/>
  <c r="E158" i="3" s="1"/>
  <c r="J159" i="3"/>
  <c r="E159" i="3" s="1"/>
  <c r="J160" i="3"/>
  <c r="E160" i="3" s="1"/>
  <c r="J161" i="3"/>
  <c r="E161" i="3" s="1"/>
  <c r="J162" i="3"/>
  <c r="E162" i="3" s="1"/>
  <c r="J163" i="3"/>
  <c r="E163" i="3" s="1"/>
  <c r="J164" i="3"/>
  <c r="E164" i="3" s="1"/>
  <c r="J165" i="3"/>
  <c r="E165" i="3" s="1"/>
  <c r="J166" i="3"/>
  <c r="E166" i="3" s="1"/>
  <c r="J167" i="3"/>
  <c r="E167" i="3" s="1"/>
  <c r="J168" i="3"/>
  <c r="E168" i="3" s="1"/>
  <c r="J169" i="3"/>
  <c r="E169" i="3" s="1"/>
  <c r="J170" i="3"/>
  <c r="E170" i="3" s="1"/>
  <c r="J171" i="3"/>
  <c r="E171" i="3" s="1"/>
  <c r="J172" i="3"/>
  <c r="E172" i="3" s="1"/>
  <c r="J173" i="3"/>
  <c r="E173" i="3" s="1"/>
  <c r="J174" i="3"/>
  <c r="E174" i="3" s="1"/>
  <c r="J175" i="3"/>
  <c r="E175" i="3" s="1"/>
  <c r="J176" i="3"/>
  <c r="E176" i="3" s="1"/>
  <c r="J177" i="3"/>
  <c r="E177" i="3" s="1"/>
  <c r="J178" i="3"/>
  <c r="E178" i="3" s="1"/>
  <c r="J179" i="3"/>
  <c r="E179" i="3" s="1"/>
  <c r="J180" i="3"/>
  <c r="E180" i="3" s="1"/>
  <c r="J181" i="3"/>
  <c r="E181" i="3" s="1"/>
  <c r="J182" i="3"/>
  <c r="E182" i="3" s="1"/>
  <c r="J183" i="3"/>
  <c r="E183" i="3" s="1"/>
  <c r="B1" i="24"/>
  <c r="B1" i="20"/>
  <c r="A1" i="17"/>
  <c r="B1" i="12"/>
  <c r="A1" i="29"/>
  <c r="A1" i="13"/>
  <c r="B1" i="22"/>
  <c r="D41" i="2"/>
  <c r="D100" i="2" s="1"/>
  <c r="D40" i="2"/>
  <c r="D99" i="2" s="1"/>
  <c r="D39" i="2"/>
  <c r="D65" i="2" s="1"/>
  <c r="D38" i="2"/>
  <c r="D98" i="2" s="1"/>
  <c r="D37" i="2"/>
  <c r="D97" i="2" s="1"/>
  <c r="D36" i="2"/>
  <c r="D96" i="2" s="1"/>
  <c r="D35" i="2"/>
  <c r="D95" i="2" s="1"/>
  <c r="D34" i="2"/>
  <c r="D94" i="2" s="1"/>
  <c r="J131" i="13" s="1"/>
  <c r="M131" i="13" s="1"/>
  <c r="D33" i="2"/>
  <c r="D93" i="2" s="1"/>
  <c r="J132" i="13" s="1"/>
  <c r="M132" i="13" s="1"/>
  <c r="D32" i="2"/>
  <c r="D92" i="2" s="1"/>
  <c r="D31" i="2"/>
  <c r="D91" i="2" s="1"/>
  <c r="D30" i="2"/>
  <c r="D90" i="2" s="1"/>
  <c r="D29" i="2"/>
  <c r="D89" i="2" s="1"/>
  <c r="D28" i="2"/>
  <c r="D64" i="2" s="1"/>
  <c r="D27" i="2"/>
  <c r="D88" i="2" s="1"/>
  <c r="J129" i="13" s="1"/>
  <c r="M129" i="13" s="1"/>
  <c r="D26" i="2"/>
  <c r="D87" i="2" s="1"/>
  <c r="J130" i="13" s="1"/>
  <c r="M130" i="13" s="1"/>
  <c r="D25" i="2"/>
  <c r="D86" i="2" s="1"/>
  <c r="D24" i="2"/>
  <c r="D85" i="2" s="1"/>
  <c r="D23" i="2"/>
  <c r="D84" i="2" s="1"/>
  <c r="D22" i="2"/>
  <c r="D83" i="2" s="1"/>
  <c r="D21" i="2"/>
  <c r="D63" i="2" s="1"/>
  <c r="D20" i="2"/>
  <c r="D82" i="2" s="1"/>
  <c r="D19" i="2"/>
  <c r="D81" i="2" s="1"/>
  <c r="D18" i="2"/>
  <c r="D80" i="2" s="1"/>
  <c r="D17" i="2"/>
  <c r="D79" i="2" s="1"/>
  <c r="D16" i="2"/>
  <c r="D78" i="2" s="1"/>
  <c r="D15" i="2"/>
  <c r="D77" i="2" s="1"/>
  <c r="D14" i="2"/>
  <c r="D76" i="2" s="1"/>
  <c r="D12" i="2"/>
  <c r="D75" i="2" s="1"/>
  <c r="D11" i="2"/>
  <c r="D74" i="2" s="1"/>
  <c r="D10" i="2"/>
  <c r="D73" i="2" s="1"/>
  <c r="D9" i="2"/>
  <c r="D72" i="2" s="1"/>
  <c r="D8" i="2"/>
  <c r="D71" i="2" s="1"/>
  <c r="D7" i="2"/>
  <c r="D61" i="2" s="1"/>
  <c r="D6" i="2"/>
  <c r="D60" i="2" s="1"/>
  <c r="D5" i="2"/>
  <c r="D59" i="2" s="1"/>
  <c r="D4" i="2"/>
  <c r="D70" i="2" s="1"/>
  <c r="J119" i="3"/>
  <c r="E119" i="3" s="1"/>
  <c r="I8" i="13" l="1"/>
  <c r="I7" i="13"/>
  <c r="J138" i="13"/>
  <c r="M138" i="13" s="1"/>
  <c r="J137" i="13"/>
  <c r="M137" i="13" s="1"/>
  <c r="J136" i="13"/>
  <c r="M136" i="13" s="1"/>
  <c r="J135" i="13"/>
  <c r="M135" i="13" s="1"/>
  <c r="J133" i="13"/>
  <c r="M133" i="13" s="1"/>
  <c r="J134" i="13"/>
  <c r="M134" i="13" s="1"/>
  <c r="I4" i="13"/>
  <c r="I5" i="13"/>
  <c r="I4" i="3"/>
  <c r="I6" i="13"/>
  <c r="J181" i="13"/>
  <c r="M181" i="13" s="1"/>
  <c r="J182" i="13"/>
  <c r="M182" i="13" s="1"/>
  <c r="J120" i="3"/>
  <c r="E120" i="3" s="1"/>
  <c r="L4" i="13" a="1"/>
  <c r="L5" i="13" a="1"/>
  <c r="L7" i="13" a="1"/>
  <c r="L8" i="13" a="1"/>
  <c r="L6" i="13" a="1"/>
  <c r="L7" i="13" l="1"/>
  <c r="L8" i="13"/>
  <c r="L6" i="13"/>
  <c r="L5" i="13"/>
  <c r="L4" i="13"/>
  <c r="J121" i="3"/>
  <c r="E121" i="3" s="1"/>
  <c r="J122" i="3" l="1"/>
  <c r="E122" i="3" s="1"/>
  <c r="J123" i="3" l="1"/>
  <c r="E123" i="3" s="1"/>
  <c r="K7" i="24" l="1"/>
  <c r="K8" i="24"/>
  <c r="K9" i="24"/>
  <c r="K10" i="24"/>
  <c r="K11" i="24"/>
  <c r="K12" i="24"/>
  <c r="K13" i="24"/>
  <c r="K14" i="24"/>
  <c r="K15" i="24"/>
  <c r="K16" i="24"/>
  <c r="K17" i="24"/>
  <c r="K18" i="24"/>
  <c r="K19" i="24"/>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I92" i="3"/>
  <c r="D92" i="3" s="1" a="1"/>
  <c r="D92" i="3" s="1"/>
  <c r="I93" i="3"/>
  <c r="D93" i="3" s="1" a="1"/>
  <c r="D93" i="3" s="1"/>
  <c r="I94" i="3"/>
  <c r="D94" i="3" s="1" a="1"/>
  <c r="D94" i="3" s="1"/>
  <c r="I95" i="3"/>
  <c r="D95" i="3" s="1" a="1"/>
  <c r="D95" i="3" s="1"/>
  <c r="I96" i="3"/>
  <c r="D96" i="3" s="1" a="1"/>
  <c r="D96" i="3" s="1"/>
  <c r="I97" i="3"/>
  <c r="D97" i="3" s="1" a="1"/>
  <c r="D97" i="3" s="1"/>
  <c r="I98" i="3"/>
  <c r="D98" i="3" s="1" a="1"/>
  <c r="D98" i="3" s="1"/>
  <c r="I99" i="3"/>
  <c r="D99" i="3" s="1" a="1"/>
  <c r="D99" i="3" s="1"/>
  <c r="I100" i="3"/>
  <c r="D100" i="3" s="1" a="1"/>
  <c r="D100" i="3" s="1"/>
  <c r="I101" i="3"/>
  <c r="D101" i="3" s="1" a="1"/>
  <c r="D101" i="3" s="1"/>
  <c r="I102" i="3"/>
  <c r="D102" i="3" s="1" a="1"/>
  <c r="D102" i="3" s="1"/>
  <c r="I103" i="3"/>
  <c r="D103" i="3" s="1" a="1"/>
  <c r="D103" i="3" s="1"/>
  <c r="I104" i="3"/>
  <c r="D104" i="3" s="1" a="1"/>
  <c r="D104" i="3" s="1"/>
  <c r="I105" i="3"/>
  <c r="D105" i="3" s="1" a="1"/>
  <c r="D105" i="3" s="1"/>
  <c r="I106" i="3"/>
  <c r="D106" i="3" s="1" a="1"/>
  <c r="D106" i="3" s="1"/>
  <c r="I107" i="3"/>
  <c r="D107" i="3" s="1" a="1"/>
  <c r="D107" i="3" s="1"/>
  <c r="I108" i="3"/>
  <c r="D108" i="3" s="1" a="1"/>
  <c r="D108" i="3" s="1"/>
  <c r="I109" i="3"/>
  <c r="D109" i="3" s="1" a="1"/>
  <c r="D109" i="3" s="1"/>
  <c r="I110" i="3"/>
  <c r="D110" i="3" s="1" a="1"/>
  <c r="D110" i="3" s="1"/>
  <c r="I111" i="3"/>
  <c r="D111" i="3" s="1" a="1"/>
  <c r="D111" i="3" s="1"/>
  <c r="I112" i="3"/>
  <c r="D112" i="3" s="1" a="1"/>
  <c r="D112" i="3" s="1"/>
  <c r="I113" i="3"/>
  <c r="D113" i="3" s="1" a="1"/>
  <c r="D113" i="3" s="1"/>
  <c r="I114" i="3"/>
  <c r="D114" i="3" s="1" a="1"/>
  <c r="D114" i="3" s="1"/>
  <c r="I115" i="3"/>
  <c r="D115" i="3" s="1" a="1"/>
  <c r="D115" i="3" s="1"/>
  <c r="I116" i="3"/>
  <c r="D116" i="3" s="1" a="1"/>
  <c r="D116" i="3" s="1"/>
  <c r="I117" i="3"/>
  <c r="D117" i="3" s="1" a="1"/>
  <c r="D117" i="3" s="1"/>
  <c r="I118" i="3"/>
  <c r="D118" i="3" s="1" a="1"/>
  <c r="D118" i="3" s="1"/>
  <c r="J5" i="3"/>
  <c r="E5" i="3" s="1"/>
  <c r="J6" i="3"/>
  <c r="E6" i="3" s="1"/>
  <c r="J7" i="3"/>
  <c r="E7" i="3" s="1"/>
  <c r="J8" i="3"/>
  <c r="E8" i="3" s="1"/>
  <c r="J9" i="3"/>
  <c r="E9" i="3" s="1"/>
  <c r="J10" i="3"/>
  <c r="E10" i="3" s="1"/>
  <c r="J11" i="3"/>
  <c r="E11" i="3" s="1"/>
  <c r="J12" i="3"/>
  <c r="E12" i="3" s="1"/>
  <c r="J13" i="3"/>
  <c r="E13" i="3" s="1"/>
  <c r="J14" i="3"/>
  <c r="E14" i="3" s="1"/>
  <c r="J15" i="3"/>
  <c r="E15" i="3" s="1"/>
  <c r="J16" i="3"/>
  <c r="E16" i="3" s="1"/>
  <c r="J17" i="3"/>
  <c r="E17" i="3" s="1"/>
  <c r="J18" i="3"/>
  <c r="E18" i="3" s="1"/>
  <c r="J19" i="3"/>
  <c r="E19" i="3" s="1"/>
  <c r="J20" i="3"/>
  <c r="E20" i="3" s="1"/>
  <c r="J21" i="3"/>
  <c r="E21" i="3" s="1"/>
  <c r="J22" i="3"/>
  <c r="E22" i="3" s="1"/>
  <c r="J23" i="3"/>
  <c r="E23" i="3" s="1"/>
  <c r="J24" i="3"/>
  <c r="E24" i="3" s="1"/>
  <c r="J25" i="3"/>
  <c r="E25" i="3" s="1"/>
  <c r="J26" i="3"/>
  <c r="E26" i="3" s="1"/>
  <c r="J27" i="3"/>
  <c r="E27" i="3" s="1"/>
  <c r="J28" i="3"/>
  <c r="E28" i="3" s="1"/>
  <c r="J29" i="3"/>
  <c r="E29" i="3" s="1"/>
  <c r="J30" i="3"/>
  <c r="E30" i="3" s="1"/>
  <c r="J31" i="3"/>
  <c r="E31" i="3" s="1"/>
  <c r="J32" i="3"/>
  <c r="E32" i="3" s="1"/>
  <c r="J33" i="3"/>
  <c r="E33" i="3" s="1"/>
  <c r="J34" i="3"/>
  <c r="E34" i="3" s="1"/>
  <c r="J35" i="3"/>
  <c r="E35" i="3" s="1"/>
  <c r="J36" i="3"/>
  <c r="E36" i="3" s="1"/>
  <c r="J37" i="3"/>
  <c r="E37" i="3" s="1"/>
  <c r="J38" i="3"/>
  <c r="E38" i="3" s="1"/>
  <c r="J39" i="3"/>
  <c r="E39" i="3" s="1"/>
  <c r="J40" i="3"/>
  <c r="E40" i="3" s="1"/>
  <c r="J41" i="3"/>
  <c r="E41" i="3" s="1"/>
  <c r="J42" i="3"/>
  <c r="E42" i="3" s="1"/>
  <c r="J43" i="3"/>
  <c r="E43" i="3" s="1"/>
  <c r="J44" i="3"/>
  <c r="E44" i="3" s="1"/>
  <c r="J45" i="3"/>
  <c r="E45" i="3" s="1"/>
  <c r="J46" i="3"/>
  <c r="E46" i="3" s="1"/>
  <c r="J47" i="3"/>
  <c r="E47" i="3" s="1"/>
  <c r="J48" i="3"/>
  <c r="E48" i="3" s="1"/>
  <c r="J49" i="3"/>
  <c r="E49" i="3" s="1"/>
  <c r="J50" i="3"/>
  <c r="E50" i="3" s="1"/>
  <c r="J51" i="3"/>
  <c r="E51" i="3" s="1"/>
  <c r="J52" i="3"/>
  <c r="E52" i="3" s="1"/>
  <c r="J53" i="3"/>
  <c r="E53" i="3" s="1"/>
  <c r="J54" i="3"/>
  <c r="E54" i="3" s="1"/>
  <c r="J55" i="3"/>
  <c r="E55" i="3" s="1"/>
  <c r="J56" i="3"/>
  <c r="E56" i="3" s="1"/>
  <c r="J57" i="3"/>
  <c r="E57" i="3" s="1"/>
  <c r="J58" i="3"/>
  <c r="E58" i="3" s="1"/>
  <c r="J59" i="3"/>
  <c r="E59" i="3" s="1"/>
  <c r="J60" i="3"/>
  <c r="E60" i="3" s="1"/>
  <c r="J61" i="3"/>
  <c r="E61" i="3" s="1"/>
  <c r="J62" i="3"/>
  <c r="E62" i="3" s="1"/>
  <c r="J63" i="3"/>
  <c r="E63" i="3" s="1"/>
  <c r="J64" i="3"/>
  <c r="E64" i="3" s="1"/>
  <c r="J65" i="3"/>
  <c r="E65" i="3" s="1"/>
  <c r="J66" i="3"/>
  <c r="E66" i="3" s="1"/>
  <c r="J67" i="3"/>
  <c r="E67" i="3" s="1"/>
  <c r="J68" i="3"/>
  <c r="E68" i="3" s="1"/>
  <c r="J69" i="3"/>
  <c r="E69" i="3" s="1"/>
  <c r="J70" i="3"/>
  <c r="E70" i="3" s="1"/>
  <c r="J71" i="3"/>
  <c r="E71" i="3" s="1"/>
  <c r="J72" i="3"/>
  <c r="E72" i="3" s="1"/>
  <c r="J73" i="3"/>
  <c r="E73" i="3" s="1"/>
  <c r="J74" i="3"/>
  <c r="E74" i="3" s="1"/>
  <c r="J75" i="3"/>
  <c r="E75" i="3" s="1"/>
  <c r="J76" i="3"/>
  <c r="E76" i="3" s="1"/>
  <c r="J77" i="3"/>
  <c r="E77" i="3" s="1"/>
  <c r="J85" i="3"/>
  <c r="E85" i="3" s="1"/>
  <c r="J86" i="3"/>
  <c r="E86" i="3" s="1"/>
  <c r="J87" i="3"/>
  <c r="E87" i="3" s="1"/>
  <c r="J88" i="3"/>
  <c r="E88" i="3" s="1"/>
  <c r="J89" i="3"/>
  <c r="E89" i="3" s="1"/>
  <c r="J90" i="3"/>
  <c r="E90" i="3" s="1"/>
  <c r="J91" i="3"/>
  <c r="E91" i="3" s="1"/>
  <c r="J92" i="3"/>
  <c r="E92" i="3" s="1"/>
  <c r="J93" i="3"/>
  <c r="E93" i="3" s="1"/>
  <c r="J94" i="3"/>
  <c r="E94" i="3" s="1"/>
  <c r="J95" i="3"/>
  <c r="E95" i="3" s="1"/>
  <c r="J96" i="3"/>
  <c r="E96" i="3" s="1"/>
  <c r="J97" i="3"/>
  <c r="E97" i="3" s="1"/>
  <c r="J98" i="3"/>
  <c r="E98" i="3" s="1"/>
  <c r="J99" i="3"/>
  <c r="E99" i="3" s="1"/>
  <c r="J100" i="3"/>
  <c r="E100" i="3" s="1"/>
  <c r="J101" i="3"/>
  <c r="E101" i="3" s="1"/>
  <c r="J102" i="3"/>
  <c r="E102" i="3" s="1"/>
  <c r="J103" i="3"/>
  <c r="E103" i="3" s="1"/>
  <c r="J104" i="3"/>
  <c r="E104" i="3" s="1"/>
  <c r="J105" i="3"/>
  <c r="E105" i="3" s="1"/>
  <c r="J106" i="3"/>
  <c r="E106" i="3" s="1"/>
  <c r="J107" i="3"/>
  <c r="E107" i="3" s="1"/>
  <c r="J108" i="3"/>
  <c r="E108" i="3" s="1"/>
  <c r="J109" i="3"/>
  <c r="E109" i="3" s="1"/>
  <c r="J110" i="3"/>
  <c r="E110" i="3" s="1"/>
  <c r="J111" i="3"/>
  <c r="E111" i="3" s="1"/>
  <c r="J112" i="3"/>
  <c r="E112" i="3" s="1"/>
  <c r="J113" i="3"/>
  <c r="E113" i="3" s="1"/>
  <c r="J114" i="3"/>
  <c r="E114" i="3" s="1"/>
  <c r="J115" i="3"/>
  <c r="E115" i="3" s="1"/>
  <c r="J116" i="3"/>
  <c r="E116" i="3" s="1"/>
  <c r="J117" i="3"/>
  <c r="E117" i="3" s="1"/>
  <c r="J118" i="3"/>
  <c r="E118" i="3" s="1"/>
  <c r="E4" i="3"/>
  <c r="C2" i="17" l="1"/>
  <c r="N8" i="20" l="1"/>
  <c r="O8" i="20" s="1"/>
  <c r="N9" i="20"/>
  <c r="O9" i="20" s="1"/>
  <c r="N10" i="20"/>
  <c r="O10" i="20" s="1"/>
  <c r="N11" i="20"/>
  <c r="O11" i="20" s="1"/>
  <c r="N12" i="20"/>
  <c r="O12" i="20" s="1"/>
  <c r="N13" i="20"/>
  <c r="O13" i="20" s="1"/>
  <c r="N14" i="20"/>
  <c r="O14" i="20" s="1"/>
  <c r="N15" i="20"/>
  <c r="O15" i="20" s="1"/>
  <c r="N16" i="20"/>
  <c r="O16" i="20" s="1"/>
  <c r="N17" i="20"/>
  <c r="O17" i="20" s="1"/>
  <c r="N18" i="20"/>
  <c r="O18" i="20" s="1"/>
  <c r="N19" i="20"/>
  <c r="O19" i="20" s="1"/>
  <c r="N20" i="20"/>
  <c r="O20" i="20" s="1"/>
  <c r="N21" i="20"/>
  <c r="O21" i="20" s="1"/>
  <c r="N22" i="20"/>
  <c r="O22" i="20" s="1"/>
  <c r="N23" i="20"/>
  <c r="O23" i="20" s="1"/>
  <c r="N24" i="20"/>
  <c r="O24" i="20" s="1"/>
  <c r="N25" i="20"/>
  <c r="O25" i="20" s="1"/>
  <c r="N26" i="20"/>
  <c r="O26" i="20" s="1"/>
  <c r="N27" i="20"/>
  <c r="O27" i="20" s="1"/>
  <c r="N28" i="20"/>
  <c r="O28" i="20" s="1"/>
  <c r="N29" i="20"/>
  <c r="O29" i="20" s="1"/>
  <c r="N30" i="20"/>
  <c r="O30" i="20" s="1"/>
  <c r="N31" i="20"/>
  <c r="O31" i="20" s="1"/>
  <c r="N32" i="20"/>
  <c r="O32" i="20" s="1"/>
  <c r="N33" i="20"/>
  <c r="O33" i="20" s="1"/>
  <c r="N34" i="20"/>
  <c r="O34" i="20" s="1"/>
  <c r="N35" i="20"/>
  <c r="O35" i="20"/>
  <c r="N36" i="20"/>
  <c r="O36" i="20" s="1"/>
  <c r="N37" i="20"/>
  <c r="O37" i="20" s="1"/>
  <c r="N38" i="20"/>
  <c r="O38" i="20" s="1"/>
  <c r="N39" i="20"/>
  <c r="O39" i="20" s="1"/>
  <c r="N40" i="20"/>
  <c r="O40" i="20" s="1"/>
  <c r="N41" i="20"/>
  <c r="O41" i="20" s="1"/>
  <c r="N42" i="20"/>
  <c r="O42" i="20" s="1"/>
  <c r="N43" i="20"/>
  <c r="O43" i="20" s="1"/>
  <c r="N44" i="20"/>
  <c r="O44" i="20" s="1"/>
  <c r="N45" i="20"/>
  <c r="O45" i="20" s="1"/>
  <c r="N46" i="20"/>
  <c r="O46" i="20" s="1"/>
  <c r="N47" i="20"/>
  <c r="O47" i="20" s="1"/>
  <c r="N48" i="20"/>
  <c r="O48" i="20" s="1"/>
  <c r="N49" i="20"/>
  <c r="O49" i="20" s="1"/>
  <c r="N50" i="20"/>
  <c r="O50" i="20" s="1"/>
  <c r="D42" i="2" l="1"/>
  <c r="N4" i="13"/>
  <c r="M4" i="13"/>
  <c r="D101" i="2"/>
  <c r="F97" i="3" s="1"/>
  <c r="B16" i="21"/>
  <c r="B17" i="21"/>
  <c r="B22" i="21"/>
  <c r="B23" i="21"/>
  <c r="B18" i="21"/>
  <c r="B24" i="21"/>
  <c r="B34" i="21"/>
  <c r="B10" i="21"/>
  <c r="B11" i="21"/>
  <c r="B4" i="21"/>
  <c r="B5" i="21"/>
  <c r="B12" i="21"/>
  <c r="D13" i="2"/>
  <c r="D62" i="2" s="1"/>
  <c r="B31" i="21"/>
  <c r="B8" i="21"/>
  <c r="B30" i="21"/>
  <c r="B28" i="21"/>
  <c r="B35" i="21"/>
  <c r="B40" i="21"/>
  <c r="B13" i="21"/>
  <c r="B14" i="21"/>
  <c r="B27" i="21"/>
  <c r="B6" i="21"/>
  <c r="B29" i="21"/>
  <c r="B9" i="21"/>
  <c r="B32" i="21"/>
  <c r="B7" i="21"/>
  <c r="B15" i="21"/>
  <c r="B21" i="21"/>
  <c r="B36" i="21"/>
  <c r="F95" i="3" l="1"/>
  <c r="F96" i="3"/>
  <c r="F93" i="3"/>
  <c r="F94" i="3"/>
  <c r="F91" i="3"/>
  <c r="F92" i="3"/>
  <c r="F89" i="3"/>
  <c r="F90" i="3"/>
  <c r="F87" i="3"/>
  <c r="F88" i="3"/>
  <c r="F85" i="3"/>
  <c r="F86" i="3"/>
  <c r="F83" i="3"/>
  <c r="F84" i="3"/>
  <c r="I9" i="13"/>
  <c r="I47" i="13"/>
  <c r="I20" i="13"/>
  <c r="I30" i="13"/>
  <c r="I38" i="13"/>
  <c r="I46" i="13"/>
  <c r="I56" i="13"/>
  <c r="I64" i="13"/>
  <c r="I85" i="13"/>
  <c r="I93" i="13"/>
  <c r="I101" i="13"/>
  <c r="I15" i="13"/>
  <c r="I92" i="13"/>
  <c r="I10" i="13"/>
  <c r="I48" i="13"/>
  <c r="I21" i="13"/>
  <c r="I31" i="13"/>
  <c r="I39" i="13"/>
  <c r="I49" i="13"/>
  <c r="I57" i="13"/>
  <c r="I65" i="13"/>
  <c r="I86" i="13"/>
  <c r="I94" i="13"/>
  <c r="I102" i="13"/>
  <c r="I29" i="13"/>
  <c r="I100" i="13"/>
  <c r="I27" i="13"/>
  <c r="I28" i="13"/>
  <c r="I22" i="13"/>
  <c r="I32" i="13"/>
  <c r="I40" i="13"/>
  <c r="I50" i="13"/>
  <c r="I58" i="13"/>
  <c r="I66" i="13"/>
  <c r="I87" i="13"/>
  <c r="I95" i="13"/>
  <c r="I103" i="13"/>
  <c r="I37" i="13"/>
  <c r="I72" i="13"/>
  <c r="I12" i="13"/>
  <c r="I23" i="13"/>
  <c r="I33" i="13"/>
  <c r="I41" i="13"/>
  <c r="I51" i="13"/>
  <c r="I59" i="13"/>
  <c r="I67" i="13"/>
  <c r="I88" i="13"/>
  <c r="I96" i="13"/>
  <c r="I45" i="13"/>
  <c r="I16" i="13"/>
  <c r="I11" i="13"/>
  <c r="I24" i="13"/>
  <c r="I34" i="13"/>
  <c r="I42" i="13"/>
  <c r="I52" i="13"/>
  <c r="I60" i="13"/>
  <c r="I68" i="13"/>
  <c r="I89" i="13"/>
  <c r="I97" i="13"/>
  <c r="I55" i="13"/>
  <c r="I17" i="13"/>
  <c r="I13" i="13"/>
  <c r="I25" i="13"/>
  <c r="I35" i="13"/>
  <c r="I43" i="13"/>
  <c r="I53" i="13"/>
  <c r="I61" i="13"/>
  <c r="I69" i="13"/>
  <c r="I90" i="13"/>
  <c r="I98" i="13"/>
  <c r="I19" i="13"/>
  <c r="I71" i="13"/>
  <c r="I18" i="13"/>
  <c r="I14" i="13"/>
  <c r="I26" i="13"/>
  <c r="I36" i="13"/>
  <c r="I44" i="13"/>
  <c r="I54" i="13"/>
  <c r="I62" i="13"/>
  <c r="I70" i="13"/>
  <c r="I91" i="13"/>
  <c r="I99" i="13"/>
  <c r="I63" i="13"/>
  <c r="I82" i="3"/>
  <c r="D82" i="3" s="1" a="1"/>
  <c r="I90" i="3"/>
  <c r="D90" i="3" s="1" a="1"/>
  <c r="I83" i="3"/>
  <c r="D83" i="3" s="1" a="1"/>
  <c r="I91" i="3"/>
  <c r="I84" i="3"/>
  <c r="D84" i="3" s="1" a="1"/>
  <c r="I85" i="3"/>
  <c r="D85" i="3" s="1" a="1"/>
  <c r="I89" i="3"/>
  <c r="D89" i="3" s="1" a="1"/>
  <c r="I78" i="3"/>
  <c r="I86" i="3"/>
  <c r="D86" i="3" s="1" a="1"/>
  <c r="I79" i="3"/>
  <c r="D79" i="3" s="1" a="1"/>
  <c r="I87" i="3"/>
  <c r="D87" i="3" s="1" a="1"/>
  <c r="I80" i="3"/>
  <c r="D80" i="3" s="1" a="1"/>
  <c r="I88" i="3"/>
  <c r="D88" i="3" s="1" a="1"/>
  <c r="I81" i="3"/>
  <c r="D81" i="3" s="1" a="1"/>
  <c r="F100" i="3"/>
  <c r="F108" i="3"/>
  <c r="F116" i="3"/>
  <c r="F124" i="3"/>
  <c r="F132" i="3"/>
  <c r="F140" i="3"/>
  <c r="F148" i="3"/>
  <c r="F156" i="3"/>
  <c r="F164" i="3"/>
  <c r="F172" i="3"/>
  <c r="F180" i="3"/>
  <c r="F154" i="3"/>
  <c r="F123" i="3"/>
  <c r="F147" i="3"/>
  <c r="F101" i="3"/>
  <c r="F109" i="3"/>
  <c r="F117" i="3"/>
  <c r="F125" i="3"/>
  <c r="F133" i="3"/>
  <c r="F141" i="3"/>
  <c r="F149" i="3"/>
  <c r="F157" i="3"/>
  <c r="F165" i="3"/>
  <c r="F173" i="3"/>
  <c r="F181" i="3"/>
  <c r="F106" i="3"/>
  <c r="F138" i="3"/>
  <c r="F107" i="3"/>
  <c r="F163" i="3"/>
  <c r="F102" i="3"/>
  <c r="F110" i="3"/>
  <c r="F118" i="3"/>
  <c r="F126" i="3"/>
  <c r="F134" i="3"/>
  <c r="F142" i="3"/>
  <c r="F150" i="3"/>
  <c r="F158" i="3"/>
  <c r="F166" i="3"/>
  <c r="F174" i="3"/>
  <c r="F182" i="3"/>
  <c r="F114" i="3"/>
  <c r="F146" i="3"/>
  <c r="F103" i="3"/>
  <c r="F111" i="3"/>
  <c r="F119" i="3"/>
  <c r="F127" i="3"/>
  <c r="F135" i="3"/>
  <c r="F143" i="3"/>
  <c r="F151" i="3"/>
  <c r="F159" i="3"/>
  <c r="F167" i="3"/>
  <c r="F175" i="3"/>
  <c r="F183" i="3"/>
  <c r="F98" i="3"/>
  <c r="F162" i="3"/>
  <c r="F99" i="3"/>
  <c r="F139" i="3"/>
  <c r="F179" i="3"/>
  <c r="F104" i="3"/>
  <c r="F112" i="3"/>
  <c r="F120" i="3"/>
  <c r="F128" i="3"/>
  <c r="F136" i="3"/>
  <c r="F144" i="3"/>
  <c r="F152" i="3"/>
  <c r="F160" i="3"/>
  <c r="F168" i="3"/>
  <c r="F176" i="3"/>
  <c r="F122" i="3"/>
  <c r="F178" i="3"/>
  <c r="F115" i="3"/>
  <c r="F155" i="3"/>
  <c r="F105" i="3"/>
  <c r="F113" i="3"/>
  <c r="F121" i="3"/>
  <c r="F129" i="3"/>
  <c r="F137" i="3"/>
  <c r="F145" i="3"/>
  <c r="F153" i="3"/>
  <c r="F161" i="3"/>
  <c r="F169" i="3"/>
  <c r="F177" i="3"/>
  <c r="F130" i="3"/>
  <c r="F170" i="3"/>
  <c r="F131" i="3"/>
  <c r="F171" i="3"/>
  <c r="I119" i="3"/>
  <c r="D119" i="3" s="1" a="1"/>
  <c r="D119" i="3" s="1"/>
  <c r="I120" i="3"/>
  <c r="D120" i="3" s="1" a="1"/>
  <c r="D120" i="3" s="1"/>
  <c r="I121" i="3"/>
  <c r="D121" i="3" s="1" a="1"/>
  <c r="D121" i="3" s="1"/>
  <c r="I122" i="3"/>
  <c r="D122" i="3" s="1" a="1"/>
  <c r="D122" i="3" s="1"/>
  <c r="I123" i="3"/>
  <c r="D123" i="3" s="1" a="1"/>
  <c r="D123" i="3" s="1"/>
  <c r="I14" i="3"/>
  <c r="I22" i="3"/>
  <c r="I30" i="3"/>
  <c r="I38" i="3"/>
  <c r="I46" i="3"/>
  <c r="I54" i="3"/>
  <c r="I7" i="3"/>
  <c r="I15" i="3"/>
  <c r="I23" i="3"/>
  <c r="I31" i="3"/>
  <c r="I39" i="3"/>
  <c r="I47" i="3"/>
  <c r="I55" i="3"/>
  <c r="I63" i="3"/>
  <c r="I71" i="3"/>
  <c r="I48" i="3"/>
  <c r="I72" i="3"/>
  <c r="I8" i="3"/>
  <c r="I16" i="3"/>
  <c r="I24" i="3"/>
  <c r="I32" i="3"/>
  <c r="I40" i="3"/>
  <c r="I56" i="3"/>
  <c r="I64" i="3"/>
  <c r="I9" i="3"/>
  <c r="I17" i="3"/>
  <c r="I25" i="3"/>
  <c r="I33" i="3"/>
  <c r="I41" i="3"/>
  <c r="I49" i="3"/>
  <c r="I57" i="3"/>
  <c r="I65" i="3"/>
  <c r="I73" i="3"/>
  <c r="D73" i="3" s="1" a="1"/>
  <c r="I11" i="3"/>
  <c r="I27" i="3"/>
  <c r="I43" i="3"/>
  <c r="I59" i="3"/>
  <c r="I10" i="3"/>
  <c r="I18" i="3"/>
  <c r="I26" i="3"/>
  <c r="I34" i="3"/>
  <c r="I42" i="3"/>
  <c r="I50" i="3"/>
  <c r="I58" i="3"/>
  <c r="I66" i="3"/>
  <c r="I74" i="3"/>
  <c r="D74" i="3" s="1" a="1"/>
  <c r="I19" i="3"/>
  <c r="I35" i="3"/>
  <c r="I51" i="3"/>
  <c r="I67" i="3"/>
  <c r="I75" i="3"/>
  <c r="D75" i="3" s="1" a="1"/>
  <c r="I12" i="3"/>
  <c r="I20" i="3"/>
  <c r="I28" i="3"/>
  <c r="I36" i="3"/>
  <c r="I44" i="3"/>
  <c r="I52" i="3"/>
  <c r="I60" i="3"/>
  <c r="I68" i="3"/>
  <c r="I76" i="3"/>
  <c r="D76" i="3" s="1" a="1"/>
  <c r="I70" i="3"/>
  <c r="I13" i="3"/>
  <c r="I21" i="3"/>
  <c r="I29" i="3"/>
  <c r="I37" i="3"/>
  <c r="I45" i="3"/>
  <c r="I53" i="3"/>
  <c r="I61" i="3"/>
  <c r="I69" i="3"/>
  <c r="I77" i="3"/>
  <c r="D77" i="3" s="1" a="1"/>
  <c r="I62" i="3"/>
  <c r="I5" i="3"/>
  <c r="I6" i="3"/>
  <c r="J81" i="3"/>
  <c r="E81" i="3" s="1"/>
  <c r="B25" i="21"/>
  <c r="J78" i="3"/>
  <c r="E78" i="3" s="1"/>
  <c r="B20" i="21"/>
  <c r="J79" i="3"/>
  <c r="E79" i="3" s="1"/>
  <c r="B19" i="21"/>
  <c r="J80" i="3"/>
  <c r="E80" i="3" s="1"/>
  <c r="B26" i="21"/>
  <c r="J82" i="3"/>
  <c r="E82" i="3" s="1"/>
  <c r="J83" i="3"/>
  <c r="E83" i="3" s="1"/>
  <c r="B3" i="21"/>
  <c r="B2" i="21"/>
  <c r="J84" i="3"/>
  <c r="E84" i="3" s="1"/>
  <c r="B39" i="21"/>
  <c r="B37" i="21"/>
  <c r="E37" i="21" s="1"/>
  <c r="B33" i="21"/>
  <c r="A3" i="24" a="1"/>
  <c r="A3" i="24" s="1"/>
  <c r="L85" i="13" a="1"/>
  <c r="L91" i="13" a="1"/>
  <c r="L93" i="13" a="1"/>
  <c r="L100" i="13" a="1"/>
  <c r="L89" i="13" a="1"/>
  <c r="L99" i="13" a="1"/>
  <c r="L101" i="13" a="1"/>
  <c r="L87" i="13" a="1"/>
  <c r="L97" i="13" a="1"/>
  <c r="L86" i="13" a="1"/>
  <c r="L95" i="13" a="1"/>
  <c r="L92" i="13" a="1"/>
  <c r="L103" i="13" a="1"/>
  <c r="L90" i="13" a="1"/>
  <c r="L94" i="13" a="1"/>
  <c r="L88" i="13" a="1"/>
  <c r="L98" i="13" a="1"/>
  <c r="L102" i="13" a="1"/>
  <c r="L96" i="13" a="1"/>
  <c r="D91" i="3" a="1"/>
  <c r="D78" i="3" a="1"/>
  <c r="L21" i="13" a="1"/>
  <c r="D9" i="3" a="1"/>
  <c r="L36" i="13" a="1"/>
  <c r="D6" i="3" a="1"/>
  <c r="D31" i="3" a="1"/>
  <c r="L59" i="13" a="1"/>
  <c r="D58" i="3" a="1"/>
  <c r="L13" i="13" a="1"/>
  <c r="D65" i="3" a="1"/>
  <c r="D29" i="3" a="1"/>
  <c r="D53" i="3" a="1"/>
  <c r="L47" i="13" a="1"/>
  <c r="D62" i="3" a="1"/>
  <c r="D60" i="3" a="1"/>
  <c r="L69" i="13" a="1"/>
  <c r="D40" i="3" a="1"/>
  <c r="D66" i="3" a="1"/>
  <c r="L37" i="13" a="1"/>
  <c r="D54" i="3" a="1"/>
  <c r="L32" i="13" a="1"/>
  <c r="L51" i="13" a="1"/>
  <c r="D71" i="3" a="1"/>
  <c r="D45" i="3" a="1"/>
  <c r="D16" i="3" a="1"/>
  <c r="D32" i="3" a="1"/>
  <c r="L28" i="13" a="1"/>
  <c r="L17" i="13" a="1"/>
  <c r="L16" i="13" a="1"/>
  <c r="L11" i="13" a="1"/>
  <c r="D64" i="3" a="1"/>
  <c r="L18" i="13" a="1"/>
  <c r="D30" i="3" a="1"/>
  <c r="L60" i="13" a="1"/>
  <c r="D37" i="3" a="1"/>
  <c r="D47" i="3" a="1"/>
  <c r="D68" i="3" a="1"/>
  <c r="L44" i="13" a="1"/>
  <c r="L40" i="13" a="1"/>
  <c r="D17" i="3" a="1"/>
  <c r="D15" i="3" a="1"/>
  <c r="D42" i="3" a="1"/>
  <c r="D25" i="3" a="1"/>
  <c r="L38" i="13" a="1"/>
  <c r="L23" i="13" a="1"/>
  <c r="D69" i="3" a="1"/>
  <c r="L61" i="13" a="1"/>
  <c r="D51" i="3" a="1"/>
  <c r="L49" i="13" a="1"/>
  <c r="D44" i="3" a="1"/>
  <c r="D4" i="3" a="1"/>
  <c r="D57" i="3" a="1"/>
  <c r="D55" i="3" a="1"/>
  <c r="D48" i="3" a="1"/>
  <c r="D41" i="3" a="1"/>
  <c r="D67" i="3" a="1"/>
  <c r="L63" i="13" a="1"/>
  <c r="L26" i="13" a="1"/>
  <c r="L20" i="13" a="1"/>
  <c r="D24" i="3" a="1"/>
  <c r="D26" i="3" a="1"/>
  <c r="D39" i="3" a="1"/>
  <c r="L55" i="13" a="1"/>
  <c r="D43" i="3" a="1"/>
  <c r="D22" i="3" a="1"/>
  <c r="D14" i="3" a="1"/>
  <c r="D8" i="3" a="1"/>
  <c r="D52" i="3" a="1"/>
  <c r="L43" i="13" a="1"/>
  <c r="D20" i="3" a="1"/>
  <c r="D21" i="3" a="1"/>
  <c r="L22" i="13" a="1"/>
  <c r="D63" i="3" a="1"/>
  <c r="L24" i="13" a="1"/>
  <c r="L46" i="13" a="1"/>
  <c r="D11" i="3" a="1"/>
  <c r="D61" i="3" a="1"/>
  <c r="D18" i="3" a="1"/>
  <c r="L57" i="13" a="1"/>
  <c r="L53" i="13" a="1"/>
  <c r="L70" i="13" a="1"/>
  <c r="L54" i="13" a="1"/>
  <c r="D59" i="3" a="1"/>
  <c r="L56" i="13" a="1"/>
  <c r="L48" i="13" a="1"/>
  <c r="D36" i="3" a="1"/>
  <c r="L42" i="13" a="1"/>
  <c r="L25" i="13" a="1"/>
  <c r="D38" i="3" a="1"/>
  <c r="D50" i="3" a="1"/>
  <c r="D72" i="3" a="1"/>
  <c r="L34" i="13" a="1"/>
  <c r="L66" i="13" a="1"/>
  <c r="L27" i="13" a="1"/>
  <c r="L72" i="13" a="1"/>
  <c r="L33" i="13" a="1"/>
  <c r="L35" i="13" a="1"/>
  <c r="L39" i="13" a="1"/>
  <c r="L14" i="13" a="1"/>
  <c r="L41" i="13" a="1"/>
  <c r="L29" i="13" a="1"/>
  <c r="L19" i="13" a="1"/>
  <c r="L67" i="13" a="1"/>
  <c r="L9" i="13" a="1"/>
  <c r="D35" i="3" a="1"/>
  <c r="D46" i="3" a="1"/>
  <c r="D7" i="3" a="1"/>
  <c r="D12" i="3" a="1"/>
  <c r="L10" i="13" a="1"/>
  <c r="D34" i="3" a="1"/>
  <c r="L31" i="13" a="1"/>
  <c r="L62" i="13" a="1"/>
  <c r="L50" i="13" a="1"/>
  <c r="L64" i="13" a="1"/>
  <c r="L45" i="13" a="1"/>
  <c r="L68" i="13" a="1"/>
  <c r="D33" i="3" a="1"/>
  <c r="L71" i="13" a="1"/>
  <c r="L30" i="13" a="1"/>
  <c r="L52" i="13" a="1"/>
  <c r="D70" i="3" a="1"/>
  <c r="L12" i="13" a="1"/>
  <c r="L58" i="13" a="1"/>
  <c r="L65" i="13" a="1"/>
  <c r="L15" i="13" a="1"/>
  <c r="D5" i="3" a="1"/>
  <c r="D23" i="3" a="1"/>
  <c r="D10" i="3" a="1"/>
  <c r="D56" i="3" a="1"/>
  <c r="D27" i="3" a="1"/>
  <c r="D28" i="3" a="1"/>
  <c r="D19" i="3" a="1"/>
  <c r="D13" i="3" a="1"/>
  <c r="D49" i="3" a="1"/>
  <c r="A3" i="12" l="1" a="1"/>
  <c r="A3" i="12" s="1"/>
  <c r="A3" i="20" a="1"/>
  <c r="A3" i="20" s="1"/>
  <c r="L28" i="13"/>
  <c r="L13" i="13"/>
  <c r="L70" i="13"/>
  <c r="L71" i="13"/>
  <c r="L35" i="13"/>
  <c r="L60" i="13"/>
  <c r="L96" i="13"/>
  <c r="L12" i="13"/>
  <c r="L50" i="13"/>
  <c r="L102" i="13"/>
  <c r="L21" i="13"/>
  <c r="L64" i="13"/>
  <c r="L98" i="13"/>
  <c r="L62" i="13"/>
  <c r="L19" i="13"/>
  <c r="L25" i="13"/>
  <c r="L52" i="13"/>
  <c r="L88" i="13"/>
  <c r="L72" i="13"/>
  <c r="L40" i="13"/>
  <c r="L94" i="13"/>
  <c r="L48" i="13"/>
  <c r="L56" i="13"/>
  <c r="L42" i="13"/>
  <c r="L67" i="13"/>
  <c r="L10" i="13"/>
  <c r="L46" i="13"/>
  <c r="L44" i="13"/>
  <c r="L90" i="13"/>
  <c r="L17" i="13"/>
  <c r="L34" i="13"/>
  <c r="L59" i="13"/>
  <c r="L103" i="13"/>
  <c r="L22" i="13"/>
  <c r="L65" i="13"/>
  <c r="L92" i="13"/>
  <c r="L38" i="13"/>
  <c r="L32" i="13"/>
  <c r="L36" i="13"/>
  <c r="L69" i="13"/>
  <c r="L55" i="13"/>
  <c r="L24" i="13"/>
  <c r="L51" i="13"/>
  <c r="L95" i="13"/>
  <c r="L57" i="13"/>
  <c r="L15" i="13"/>
  <c r="L30" i="13"/>
  <c r="L54" i="13"/>
  <c r="L86" i="13"/>
  <c r="L63" i="13"/>
  <c r="L26" i="13"/>
  <c r="L61" i="13"/>
  <c r="L97" i="13"/>
  <c r="L11" i="13"/>
  <c r="L41" i="13"/>
  <c r="L87" i="13"/>
  <c r="L27" i="13"/>
  <c r="L49" i="13"/>
  <c r="L101" i="13"/>
  <c r="L20" i="13"/>
  <c r="L37" i="13"/>
  <c r="L99" i="13"/>
  <c r="L14" i="13"/>
  <c r="L53" i="13"/>
  <c r="L89" i="13"/>
  <c r="L16" i="13"/>
  <c r="L33" i="13"/>
  <c r="L66" i="13"/>
  <c r="L100" i="13"/>
  <c r="L39" i="13"/>
  <c r="L93" i="13"/>
  <c r="L47" i="13"/>
  <c r="L91" i="13"/>
  <c r="L18" i="13"/>
  <c r="L43" i="13"/>
  <c r="L68" i="13"/>
  <c r="L45" i="13"/>
  <c r="L23" i="13"/>
  <c r="L58" i="13"/>
  <c r="L29" i="13"/>
  <c r="L31" i="13"/>
  <c r="L85" i="13"/>
  <c r="L9" i="13"/>
  <c r="D89" i="3"/>
  <c r="D81" i="3"/>
  <c r="D85" i="3"/>
  <c r="D78" i="3"/>
  <c r="D88" i="3"/>
  <c r="D84" i="3"/>
  <c r="D80" i="3"/>
  <c r="D91" i="3"/>
  <c r="D87" i="3"/>
  <c r="D83" i="3"/>
  <c r="D79" i="3"/>
  <c r="D90" i="3"/>
  <c r="D86" i="3"/>
  <c r="D82"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D6" i="3"/>
  <c r="D5" i="3"/>
  <c r="D4" i="3"/>
  <c r="K5" i="24"/>
  <c r="K6" i="24"/>
  <c r="K3" i="24"/>
  <c r="K4" i="24"/>
  <c r="B38" i="21"/>
  <c r="N3" i="20"/>
  <c r="H1" i="12" l="1"/>
  <c r="O3" i="20"/>
  <c r="N4" i="20"/>
  <c r="O4" i="20" s="1"/>
  <c r="N5" i="20"/>
  <c r="O5" i="2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<sst xmlns="http://schemas.openxmlformats.org/spreadsheetml/2006/main" count="6288" uniqueCount="780">
  <si>
    <t>Seq No.</t>
  </si>
  <si>
    <t>Order</t>
  </si>
  <si>
    <t>Interval</t>
  </si>
  <si>
    <t>Description</t>
  </si>
  <si>
    <t>Current Usage</t>
  </si>
  <si>
    <t>Format</t>
  </si>
  <si>
    <t>Initial Seq</t>
  </si>
  <si>
    <t>Usage</t>
  </si>
  <si>
    <t>OP</t>
  </si>
  <si>
    <t>IF FLOWN</t>
  </si>
  <si>
    <t>Number</t>
  </si>
  <si>
    <t>DA</t>
  </si>
  <si>
    <t>DEN ALT</t>
  </si>
  <si>
    <t>Hours</t>
  </si>
  <si>
    <t>MX</t>
  </si>
  <si>
    <t>AUM LYNX</t>
  </si>
  <si>
    <t>XJ</t>
  </si>
  <si>
    <t>TAXI</t>
  </si>
  <si>
    <t>AU</t>
  </si>
  <si>
    <t>MRHAUTOS</t>
  </si>
  <si>
    <t>F3</t>
  </si>
  <si>
    <t>FSE 3</t>
  </si>
  <si>
    <t>F4</t>
  </si>
  <si>
    <t>FSE 4 SUB MIN PITCH COUNTS</t>
  </si>
  <si>
    <t>RL</t>
  </si>
  <si>
    <t>RUN LAND</t>
  </si>
  <si>
    <t>SL</t>
  </si>
  <si>
    <t>DEEP SNOW LANDINGS</t>
  </si>
  <si>
    <t>HH</t>
  </si>
  <si>
    <t>HOURS</t>
  </si>
  <si>
    <t>LF</t>
  </si>
  <si>
    <t>LANDINGS</t>
  </si>
  <si>
    <t>RS</t>
  </si>
  <si>
    <t>RSSCYCLE</t>
  </si>
  <si>
    <t>F1</t>
  </si>
  <si>
    <t>FSE 1</t>
  </si>
  <si>
    <t>F2</t>
  </si>
  <si>
    <t>FSE 2</t>
  </si>
  <si>
    <t>F5</t>
  </si>
  <si>
    <t>&gt;132% TQ</t>
  </si>
  <si>
    <t>OS</t>
  </si>
  <si>
    <t>OVERSPD</t>
  </si>
  <si>
    <t>OT</t>
  </si>
  <si>
    <t>E1</t>
  </si>
  <si>
    <t>ECU HRS</t>
  </si>
  <si>
    <t>SM</t>
  </si>
  <si>
    <t>STARTS</t>
  </si>
  <si>
    <t>1S</t>
  </si>
  <si>
    <t>CYCLES</t>
  </si>
  <si>
    <t>1T</t>
  </si>
  <si>
    <t>PT CYCLE</t>
  </si>
  <si>
    <t>3T</t>
  </si>
  <si>
    <t>2ND STG1</t>
  </si>
  <si>
    <t>1G</t>
  </si>
  <si>
    <t>NO1 OEI</t>
  </si>
  <si>
    <t>1E</t>
  </si>
  <si>
    <t>E2</t>
  </si>
  <si>
    <t>SN</t>
  </si>
  <si>
    <t>2S</t>
  </si>
  <si>
    <t>2T</t>
  </si>
  <si>
    <t>4T</t>
  </si>
  <si>
    <t>2ND STG2</t>
  </si>
  <si>
    <t>2G</t>
  </si>
  <si>
    <t>NO2 OEI</t>
  </si>
  <si>
    <t>2E</t>
  </si>
  <si>
    <t>RF</t>
  </si>
  <si>
    <t>GPMG RDS</t>
  </si>
  <si>
    <t>LR</t>
  </si>
  <si>
    <t>LHS RDS</t>
  </si>
  <si>
    <t>RR</t>
  </si>
  <si>
    <t>RHS RDS</t>
  </si>
  <si>
    <t>LP</t>
  </si>
  <si>
    <t>LIFTTOT</t>
  </si>
  <si>
    <t>OH</t>
  </si>
  <si>
    <t>OPER HRS</t>
  </si>
  <si>
    <t>IW</t>
  </si>
  <si>
    <t>INFLATIO</t>
  </si>
  <si>
    <t>SE</t>
  </si>
  <si>
    <t>SING ENG</t>
  </si>
  <si>
    <t>DD</t>
  </si>
  <si>
    <t>DATE (DO NOT FILL OUT)</t>
  </si>
  <si>
    <t>AUTOMATIC - DO NOT TOUCH OR AMEND</t>
  </si>
  <si>
    <t>DATE</t>
  </si>
  <si>
    <t>Selector</t>
  </si>
  <si>
    <t>Interval Type Code</t>
  </si>
  <si>
    <t>Interval Type</t>
  </si>
  <si>
    <t>End Item Serial</t>
  </si>
  <si>
    <t>Life Remaining</t>
  </si>
  <si>
    <t>Extension</t>
  </si>
  <si>
    <t>Task Type Code</t>
  </si>
  <si>
    <t>Actual Interval</t>
  </si>
  <si>
    <t>Task Code</t>
  </si>
  <si>
    <t>Task Sequence</t>
  </si>
  <si>
    <t>Procedure</t>
  </si>
  <si>
    <t>Task Description</t>
  </si>
  <si>
    <t>Serial</t>
  </si>
  <si>
    <t>Part</t>
  </si>
  <si>
    <t>Task Short Description</t>
  </si>
  <si>
    <t>CAGE</t>
  </si>
  <si>
    <t>Warning Interval</t>
  </si>
  <si>
    <t>0:00</t>
  </si>
  <si>
    <t>M2</t>
  </si>
  <si>
    <t>200:00</t>
  </si>
  <si>
    <t>0</t>
  </si>
  <si>
    <t/>
  </si>
  <si>
    <t>LH70120-01</t>
  </si>
  <si>
    <t>64643</t>
  </si>
  <si>
    <t>180:00</t>
  </si>
  <si>
    <t>400:00</t>
  </si>
  <si>
    <t>370:00</t>
  </si>
  <si>
    <t>25:00</t>
  </si>
  <si>
    <t>WC/TVM/1800001</t>
  </si>
  <si>
    <t>TRANSMISSION VIBRATION MONITORING</t>
  </si>
  <si>
    <t>WILDCAT</t>
  </si>
  <si>
    <t>TRANS VIBRO MONITOR</t>
  </si>
  <si>
    <t>K0058</t>
  </si>
  <si>
    <t>22:00</t>
  </si>
  <si>
    <t>ADF-OP</t>
  </si>
  <si>
    <t>50:00</t>
  </si>
  <si>
    <t>ADF-H</t>
  </si>
  <si>
    <t>WC/SRA/1800001</t>
  </si>
  <si>
    <t>Assess MPGS Small Rotor Adjustments from HUMS RTB Vib Data iaw 2(NA) SPS GO-04 HUMS</t>
  </si>
  <si>
    <t>SRA Policy</t>
  </si>
  <si>
    <t>WC/PMP/7100006</t>
  </si>
  <si>
    <t>PLUS OR MINUS 5 HOURS</t>
  </si>
  <si>
    <t>TEST FLIGHT - PPI CHECK</t>
  </si>
  <si>
    <t>7100006</t>
  </si>
  <si>
    <t>20:00</t>
  </si>
  <si>
    <t>WCR0180PTA/1</t>
  </si>
  <si>
    <t>INSPECTION OF THE AIRFRAME TO TAILPLANE ATTACHMENT LUGS</t>
  </si>
  <si>
    <t>RTI/WC/0180</t>
  </si>
  <si>
    <t>22:30</t>
  </si>
  <si>
    <t>WC/PMP/7100009</t>
  </si>
  <si>
    <t>PPI CHECK ANALYSIS</t>
  </si>
  <si>
    <t>7100009</t>
  </si>
  <si>
    <t>WC/PMP/2433004</t>
  </si>
  <si>
    <t>DC SYSTEM BATTERY</t>
  </si>
  <si>
    <t>2433004</t>
  </si>
  <si>
    <t>45:00</t>
  </si>
  <si>
    <t>WC/PMP/6320007</t>
  </si>
  <si>
    <t>MRGB MAG PLUG - EXAMINE</t>
  </si>
  <si>
    <t>WG1568-0100-04951</t>
  </si>
  <si>
    <t>6320007</t>
  </si>
  <si>
    <t>WC/PMP/6320008</t>
  </si>
  <si>
    <t>MRGB OIL SYSTEM - SAMPLE</t>
  </si>
  <si>
    <t>6320008</t>
  </si>
  <si>
    <t>WC/PMP/6521003</t>
  </si>
  <si>
    <t>IGB MAG PLUG - EXAMINE</t>
  </si>
  <si>
    <t>WG1568-0200-047</t>
  </si>
  <si>
    <t>6521003</t>
  </si>
  <si>
    <t>WC/PMP/6521004</t>
  </si>
  <si>
    <t>INTERMEDIATE GEARBOX - OIL SAMPLE</t>
  </si>
  <si>
    <t>6521004</t>
  </si>
  <si>
    <t>WC/PMP/6522003</t>
  </si>
  <si>
    <t>TAIL ROTOR GEARBOX MAG PLUG - EXAMINE</t>
  </si>
  <si>
    <t>WG1568-0300-05351</t>
  </si>
  <si>
    <t>6522003</t>
  </si>
  <si>
    <t>WC/PMP/6522004</t>
  </si>
  <si>
    <t>TAIL ROTOR GEARBOX - OIL SAMPLE</t>
  </si>
  <si>
    <t>6522004</t>
  </si>
  <si>
    <t>LB</t>
  </si>
  <si>
    <t>SEE COMMENTS</t>
  </si>
  <si>
    <t>OVERHAUL</t>
  </si>
  <si>
    <t>WC/PMP/6720001</t>
  </si>
  <si>
    <t>TAIL ROTOR CONTROLS - EXAMINE</t>
  </si>
  <si>
    <t>6720001</t>
  </si>
  <si>
    <t>100:00</t>
  </si>
  <si>
    <t>M8</t>
  </si>
  <si>
    <t>WC/MISC17</t>
  </si>
  <si>
    <t>HUMS MDTD MAINTENANCE PARTITION DOWNLOAD/ERASE</t>
  </si>
  <si>
    <t>MISC 17</t>
  </si>
  <si>
    <t>90:00</t>
  </si>
  <si>
    <t>WC/PMP/2810001</t>
  </si>
  <si>
    <t>FUEL SYSTEM - WATER/SEDIMENT CHECK</t>
  </si>
  <si>
    <t>2810001</t>
  </si>
  <si>
    <t>95:00</t>
  </si>
  <si>
    <t>WC/PMP/2910010</t>
  </si>
  <si>
    <t>NO1 HYDRAULIC SYSTEM</t>
  </si>
  <si>
    <t>2910010</t>
  </si>
  <si>
    <t>WC/PMP/4300003</t>
  </si>
  <si>
    <t>CONFORMAL ANTENNA-CHECK TQ LOAD</t>
  </si>
  <si>
    <t>4300003</t>
  </si>
  <si>
    <t>WC/PMP/5328003</t>
  </si>
  <si>
    <t>CABIN DOOR RAILS - EXAMINE</t>
  </si>
  <si>
    <t>5328003</t>
  </si>
  <si>
    <t>WC/PMP/5340004</t>
  </si>
  <si>
    <t>ENGINE AIR INTAKE FAIRINGS - EXAMINE</t>
  </si>
  <si>
    <t>5334004</t>
  </si>
  <si>
    <t>WC/PMP/5340008</t>
  </si>
  <si>
    <t>SCORCH GUARDS AND IRSF DUCTS</t>
  </si>
  <si>
    <t>5340008</t>
  </si>
  <si>
    <t>WCR0007/1</t>
  </si>
  <si>
    <t>KY100 MTU 1,2 AND 3 MOUNTING TRAY CRACKING</t>
  </si>
  <si>
    <t>WILDCATMODS</t>
  </si>
  <si>
    <t>RTI 0007</t>
  </si>
  <si>
    <t>U7941</t>
  </si>
  <si>
    <t>WC/PMP/6211001</t>
  </si>
  <si>
    <t>LPD INTENSIVE VISUAL EXAMINATION</t>
  </si>
  <si>
    <t>WG1369-0027-063</t>
  </si>
  <si>
    <t>LPD IVE</t>
  </si>
  <si>
    <t>WC/PMP/6410002</t>
  </si>
  <si>
    <t>TAIL ROTOR BLADES - EXAMINE</t>
  </si>
  <si>
    <t>6410002</t>
  </si>
  <si>
    <t>WC/PMP/6220007</t>
  </si>
  <si>
    <t>MRH PITCH CTRL RODS - DIMENSIONS CHECK</t>
  </si>
  <si>
    <t>WG1369-2300-05951</t>
  </si>
  <si>
    <t>6220007</t>
  </si>
  <si>
    <t>150:00</t>
  </si>
  <si>
    <t>WC/PMP/6210002</t>
  </si>
  <si>
    <t>MAIN ROTOR BLADES - EXAMINE</t>
  </si>
  <si>
    <t>WG1329-0245-057</t>
  </si>
  <si>
    <t>6210002</t>
  </si>
  <si>
    <t>135:00</t>
  </si>
  <si>
    <t>WC/PMP/6210003/1</t>
  </si>
  <si>
    <t>MAIN ROTOR BLADE CUFF BOLT - TORQUE CHECK</t>
  </si>
  <si>
    <t>6210003</t>
  </si>
  <si>
    <t>300:00</t>
  </si>
  <si>
    <t>270:00</t>
  </si>
  <si>
    <t>C</t>
  </si>
  <si>
    <t>LIFE LIM</t>
  </si>
  <si>
    <t>WC/PMP/7200003</t>
  </si>
  <si>
    <t>ENGINE COMPRESSOR WASH</t>
  </si>
  <si>
    <t>7200003</t>
  </si>
  <si>
    <t>WC/PMP/5210005</t>
  </si>
  <si>
    <t>COCKPIT DOORS - JETTISON CHECK</t>
  </si>
  <si>
    <t>5210005</t>
  </si>
  <si>
    <t>WC/PMP/5210007</t>
  </si>
  <si>
    <t>CABIN DOOR WINDOWS - JETTISON CHECK</t>
  </si>
  <si>
    <t>5210007</t>
  </si>
  <si>
    <t>WC/PMP/5210008</t>
  </si>
  <si>
    <t>CABIN DOOR LATCH - FUNCTIONAL CHECK</t>
  </si>
  <si>
    <t>5210008</t>
  </si>
  <si>
    <t>WC/PMP/6322001</t>
  </si>
  <si>
    <t>DO A CHECK OF THE MRGB NO2 ACCESSORY FREEWHEEL</t>
  </si>
  <si>
    <t>6322001</t>
  </si>
  <si>
    <t>WC/PMP/6420002</t>
  </si>
  <si>
    <t>TAIL ROTOR HUB - EXAMINE</t>
  </si>
  <si>
    <t>WG1539-0155-045</t>
  </si>
  <si>
    <t>6420002</t>
  </si>
  <si>
    <t>FROM NEW UP TO 500 HRS</t>
  </si>
  <si>
    <t>WINDSCREEN WIPER SYSTEM - OPERATION TESTS</t>
  </si>
  <si>
    <t>3040004</t>
  </si>
  <si>
    <t>MRB ATTACHMENT PINS - LUBRICATE</t>
  </si>
  <si>
    <t>6210004</t>
  </si>
  <si>
    <t>0.00</t>
  </si>
  <si>
    <t>T800/30SEC/OEI</t>
  </si>
  <si>
    <t>ENGINE 30 SECOND OEI IN SECONDS</t>
  </si>
  <si>
    <t>OEI 30S</t>
  </si>
  <si>
    <t>110.00</t>
  </si>
  <si>
    <t>480.00</t>
  </si>
  <si>
    <t>T800/2MIN/OEI</t>
  </si>
  <si>
    <t>ENGINE 2 MINUTE OEI IN SECONDS</t>
  </si>
  <si>
    <t>OEI 2MIN</t>
  </si>
  <si>
    <t>460.00</t>
  </si>
  <si>
    <t>120.00</t>
  </si>
  <si>
    <t>10000.00</t>
  </si>
  <si>
    <t>WC/ENGINE/AUTOS</t>
  </si>
  <si>
    <t>TO RECORD ENGINE AUTOROTATIONS</t>
  </si>
  <si>
    <t>RPO</t>
  </si>
  <si>
    <t>DAYS</t>
  </si>
  <si>
    <t>30.00</t>
  </si>
  <si>
    <t>WC/PMP/4622001</t>
  </si>
  <si>
    <t>DO THE AMS "ALERT MASK" CHECK</t>
  </si>
  <si>
    <t>4622001</t>
  </si>
  <si>
    <t>27.00</t>
  </si>
  <si>
    <t>WCCHOP3</t>
  </si>
  <si>
    <t>CLEANING AND HUSBANDRY OP 3</t>
  </si>
  <si>
    <t>28.00</t>
  </si>
  <si>
    <t>PT2-D</t>
  </si>
  <si>
    <t>182.00</t>
  </si>
  <si>
    <t>DATA-INT/STRUCTURE</t>
  </si>
  <si>
    <t>GOLDESP STRUCTURE REPORT (WAS QA6)</t>
  </si>
  <si>
    <t>STRUCREP</t>
  </si>
  <si>
    <t>25.00</t>
  </si>
  <si>
    <t>PT3-D</t>
  </si>
  <si>
    <t>365.00</t>
  </si>
  <si>
    <t>90.00</t>
  </si>
  <si>
    <t>WCR0152PTD</t>
  </si>
  <si>
    <t>MANAGEMENT OF I-BEAM/S406 FRAME CORROSION</t>
  </si>
  <si>
    <t>RTI/WC/0152</t>
  </si>
  <si>
    <t>81.00</t>
  </si>
  <si>
    <t>DATA-INT/MODF700C-AUDIT</t>
  </si>
  <si>
    <t>MOD F700C AUDIT (WAS QA42)</t>
  </si>
  <si>
    <t>700C-AUD</t>
  </si>
  <si>
    <t>168.00</t>
  </si>
  <si>
    <t>23.00</t>
  </si>
  <si>
    <t>82.00</t>
  </si>
  <si>
    <t>80.00</t>
  </si>
  <si>
    <t>WC/PMP/4322001</t>
  </si>
  <si>
    <t>TRANS BATTERIES - ELECT POWER CHECK</t>
  </si>
  <si>
    <t>4322001</t>
  </si>
  <si>
    <t>WC/PMP/7200004</t>
  </si>
  <si>
    <t>ENGINES - EXAMINE (EXTERNAL)</t>
  </si>
  <si>
    <t>7200004</t>
  </si>
  <si>
    <t>91.00</t>
  </si>
  <si>
    <t>WC/PMP/3040004/1</t>
  </si>
  <si>
    <t>WC/PMP/6210004/1</t>
  </si>
  <si>
    <t>---</t>
  </si>
  <si>
    <t>INITIATE - For transiting on to Offline SITS only</t>
  </si>
  <si>
    <t>Life Remaining (HH)</t>
  </si>
  <si>
    <t>Task Seq.</t>
  </si>
  <si>
    <t>Life Remaining (No.)</t>
  </si>
  <si>
    <t>When Due (DD)</t>
  </si>
  <si>
    <t>ID</t>
  </si>
  <si>
    <t>Days When Due</t>
  </si>
  <si>
    <t>In Work ORN</t>
  </si>
  <si>
    <t>Last Completed ORN</t>
  </si>
  <si>
    <t>Select WP:</t>
  </si>
  <si>
    <t>SITS_RowID</t>
  </si>
  <si>
    <t>Completed</t>
  </si>
  <si>
    <t>ORN</t>
  </si>
  <si>
    <t>TaskRowId</t>
  </si>
  <si>
    <t>Checked</t>
  </si>
  <si>
    <t>Current Extension</t>
  </si>
  <si>
    <t>New Extension</t>
  </si>
  <si>
    <t>Total Extension</t>
  </si>
  <si>
    <t>Total Extension %</t>
  </si>
  <si>
    <t>No. WP Open:</t>
  </si>
  <si>
    <t>ORN:</t>
  </si>
  <si>
    <t>1.00</t>
  </si>
  <si>
    <t>DATA-INT/PHYS-AC-AUDIT</t>
  </si>
  <si>
    <t>PHYSICAL AIRCRAFT AUDIT (WAS QA1)</t>
  </si>
  <si>
    <t>364.00</t>
  </si>
  <si>
    <t>NOTE: This range is downloaded directly from GOLDesp SITS. Ensure your headers are set to match those below before downloading, and then copy and paste the data below. After pasting, hit import to populate the SITS sheet (via the Initiate sheet but this should not be touched)</t>
  </si>
  <si>
    <t>10.00</t>
  </si>
  <si>
    <t>Category Of Instrument Code</t>
  </si>
  <si>
    <t>ECU</t>
  </si>
  <si>
    <t>AC</t>
  </si>
  <si>
    <t>COMP</t>
  </si>
  <si>
    <t>42.00</t>
  </si>
  <si>
    <t>35.00</t>
  </si>
  <si>
    <t>39.00</t>
  </si>
  <si>
    <t>70.00</t>
  </si>
  <si>
    <t>71.00</t>
  </si>
  <si>
    <t>PHYS-AUD</t>
  </si>
  <si>
    <t>344.00</t>
  </si>
  <si>
    <t>334.00</t>
  </si>
  <si>
    <t>Projected Due Date</t>
  </si>
  <si>
    <t>19/11/2025</t>
  </si>
  <si>
    <t>18/12/2025</t>
  </si>
  <si>
    <t>23/11/2025</t>
  </si>
  <si>
    <t>30/11/2025</t>
  </si>
  <si>
    <t>05/12/2025</t>
  </si>
  <si>
    <t>07/12/2025</t>
  </si>
  <si>
    <t>08/12/2025</t>
  </si>
  <si>
    <t>Now Due</t>
  </si>
  <si>
    <t>SNOW:</t>
  </si>
  <si>
    <t xml:space="preserve">TAIL #: </t>
  </si>
  <si>
    <t>Last Completed (Date)</t>
  </si>
  <si>
    <t>Current Usage (Hours)</t>
  </si>
  <si>
    <t>Current Usage (Number)</t>
  </si>
  <si>
    <t>Extension SNOW</t>
  </si>
  <si>
    <t>Life Remaining (Hours)</t>
  </si>
  <si>
    <t>Life Remaining (Number)</t>
  </si>
  <si>
    <t>Timestamp</t>
  </si>
  <si>
    <t>User</t>
  </si>
  <si>
    <t>Action</t>
  </si>
  <si>
    <t>Details</t>
  </si>
  <si>
    <t>Excel Version</t>
  </si>
  <si>
    <t>Last Completed (Hours)</t>
  </si>
  <si>
    <t>Last Completed (Number)</t>
  </si>
  <si>
    <t>Note: Paste in exported data from GOLDesp -&gt; Material -&gt; Equipment Status Board (you will need the component serial number AND part number). Ensure you have the same header columns active as shown below then export to CSV. Open the downloaded file and copy and paste in the necessary data. You do not need to format any columns; this is handled automatically when you click "PROCESS".</t>
  </si>
  <si>
    <t>Engines</t>
  </si>
  <si>
    <t>Airframe/WARE</t>
  </si>
  <si>
    <t>OP,DA,MX,XJ,AU,F3,F4,RL,SL,LF,RS,F1,F2,F5,OS,OT,RF,LR,RR,LP,OH,IW,SE</t>
  </si>
  <si>
    <t>For Airframe/WARE run a task query, set serial (NOT top serial) to tail nunber and copy the following codes into interval type (IN):</t>
  </si>
  <si>
    <t>INSTRUCTIONS:</t>
  </si>
  <si>
    <t>1800.00</t>
  </si>
  <si>
    <t>Run query, Export To Excel, then copy the data into Columns A and B (Interval Type, and Life Used)</t>
  </si>
  <si>
    <t>Life Used</t>
  </si>
  <si>
    <t>Run query, Export To Excel, then copy the data into Columns D and E (Interval Type, and Life Used)</t>
  </si>
  <si>
    <t>WC/T800/ECUHRS, LX/STARTS/ECU, WC/5A1P4010001/4, WC/5A1P4010001/10, WC/5A1P4010001/11A, T800/2MIN/OEI, T800/30SEC/OEI, WC/PMP/6220011/50/A, WC/PMP/6220011/10/A, WC/DEN/ALT/MASTER,LXAUM,WC/GRD/TAXI,LX/AUTOS,FSE3,FSE4,WC/RUN/LANDINGS,WILDCAT,WC/LANDINGS,WCRSSC,FSE1,FSE2,FSE5,WC/OVERSPEED/10/A,WC/OVERSPEED/50/A,LX/5A1P4010001/1 , LX/T800/ECUHRS , LX/STARTS/ECU , LX/5A1P4010001/10 , LX/5A1P4010001/11A , T800/2MIN/OEI , T800/30SEC/OEI</t>
  </si>
  <si>
    <t>9.00</t>
  </si>
  <si>
    <t>For Engines run a task query, set top serial (NOT serial) to tail number and copy the following codes into interval type (IN):</t>
  </si>
  <si>
    <t>The Engines query has more rows of data than needed but the import will filter out the data that is needed to populate the Item Usage sheet</t>
  </si>
  <si>
    <t>Enter Airframe Hours manually in cell G16</t>
  </si>
  <si>
    <t>Enter Tail Number manually in cell G14</t>
  </si>
  <si>
    <t>250:00</t>
  </si>
  <si>
    <t>20/01/2026</t>
  </si>
  <si>
    <t>WCR0183PTB/1</t>
  </si>
  <si>
    <t>MAIN ROTOR GEARBOX - ENHANCED CONDITION INDICATOR MONITORING</t>
  </si>
  <si>
    <t>RTI/WC/0183</t>
  </si>
  <si>
    <t>12:30</t>
  </si>
  <si>
    <t>11:15</t>
  </si>
  <si>
    <t>17/11/2025</t>
  </si>
  <si>
    <t>PT.3 ASSOCIATED</t>
  </si>
  <si>
    <t>WG1530-0002-04751</t>
  </si>
  <si>
    <t>WCR0185PTA</t>
  </si>
  <si>
    <t>TAILBOOM AND TAIL FIN STRUCTURAL FRAME CRACKING</t>
  </si>
  <si>
    <t>RTI/WC/0185</t>
  </si>
  <si>
    <t>WC/PMP/3220010</t>
  </si>
  <si>
    <t>NOSE LANDING GEAR LUBRICATION</t>
  </si>
  <si>
    <t>3220010</t>
  </si>
  <si>
    <t>25/11/2025</t>
  </si>
  <si>
    <t>WCR0050/2</t>
  </si>
  <si>
    <t>WILDCAT LEFT AND RIGHT COCKPIT DOOR HOLD OPEN STRUT</t>
  </si>
  <si>
    <t>RTI/WC/0050</t>
  </si>
  <si>
    <t>6710003</t>
  </si>
  <si>
    <t>02/12/2025</t>
  </si>
  <si>
    <t>WC/PMP/3040004</t>
  </si>
  <si>
    <t>WC/PMP/6210004</t>
  </si>
  <si>
    <t>14/12/2025</t>
  </si>
  <si>
    <t>19/12/2025</t>
  </si>
  <si>
    <t>12/01/2026</t>
  </si>
  <si>
    <t>WC/PMP/1810001</t>
  </si>
  <si>
    <t>BASIC A/C - VIBRATION MAINTENANCE CHECK</t>
  </si>
  <si>
    <t>1810001</t>
  </si>
  <si>
    <t>WRI/WG1568-0403/C/REPAIR</t>
  </si>
  <si>
    <t>TAIL ROTOR DRIVE SHAFT - PROVISIONAL LIFE</t>
  </si>
  <si>
    <t>REPAIR</t>
  </si>
  <si>
    <t>WG1568-0403-045</t>
  </si>
  <si>
    <t>P</t>
  </si>
  <si>
    <t>7000:00</t>
  </si>
  <si>
    <t>6950:00</t>
  </si>
  <si>
    <t>WC/PMP/6222002</t>
  </si>
  <si>
    <t>DO AN INTENSIVE VISUAL EXAMINATION OF THE MAIN ROT</t>
  </si>
  <si>
    <t>6222002</t>
  </si>
  <si>
    <t>21/01/2026</t>
  </si>
  <si>
    <t>27/01/2026</t>
  </si>
  <si>
    <t>28/01/2026</t>
  </si>
  <si>
    <t>88.00</t>
  </si>
  <si>
    <t>180.00</t>
  </si>
  <si>
    <t>DATA-INT/AC-COMP-AUDIT</t>
  </si>
  <si>
    <t>AIRCRAFT COMPONENT AUDIT (WAS QA41)</t>
  </si>
  <si>
    <t>COMP-AUD</t>
  </si>
  <si>
    <t>31.00</t>
  </si>
  <si>
    <t>21.00</t>
  </si>
  <si>
    <t>175</t>
  </si>
  <si>
    <t>728.00</t>
  </si>
  <si>
    <t>700.00</t>
  </si>
  <si>
    <t>89.00</t>
  </si>
  <si>
    <t>WC/PMP/3210006/1</t>
  </si>
  <si>
    <t>LANDING GEAR STRUCT SIGNIFICANT ITEM 9 - EXAMINE</t>
  </si>
  <si>
    <t>3210006</t>
  </si>
  <si>
    <t>WC/PMP/3220006/1</t>
  </si>
  <si>
    <t>LANDING GEAR STRUCT SIGNIFICANT ITEM 4 - EXAMINE</t>
  </si>
  <si>
    <t>3220006</t>
  </si>
  <si>
    <t>WC/PMP/6521006</t>
  </si>
  <si>
    <t>IGB EXTERNAL SURFACES - EXAMINE</t>
  </si>
  <si>
    <t>6521006</t>
  </si>
  <si>
    <t>60.00</t>
  </si>
  <si>
    <t>162</t>
  </si>
  <si>
    <t>33.00</t>
  </si>
  <si>
    <t>LIMITATION - NIL WINCHING FACILITY. HOIST NOT TO BE FITTED TO AIRCRAFT.</t>
  </si>
  <si>
    <t>40.00</t>
  </si>
  <si>
    <t>38.00</t>
  </si>
  <si>
    <t>17.00</t>
  </si>
  <si>
    <t>15.00</t>
  </si>
  <si>
    <t>WC/PMP/6710003/1</t>
  </si>
  <si>
    <t>COLLECTIVE CONTROLS - DESIGN DATA/TOLERANCE CX</t>
  </si>
  <si>
    <t>WC/LLC/435100001/2/3</t>
  </si>
  <si>
    <t>NO1, NO2 , NO3 KY100 MTU BATTERIES</t>
  </si>
  <si>
    <t>0N616736-1</t>
  </si>
  <si>
    <t>98230</t>
  </si>
  <si>
    <t>164.00</t>
  </si>
  <si>
    <t>31/12/2025</t>
  </si>
  <si>
    <t>09/01/2026</t>
  </si>
  <si>
    <t>WC/LLC/620000045/1</t>
  </si>
  <si>
    <t>LORD TIE BARS SCRAP LIFE</t>
  </si>
  <si>
    <t>WG1369-2370-041</t>
  </si>
  <si>
    <t>2184.00</t>
  </si>
  <si>
    <t>83.00</t>
  </si>
  <si>
    <t>Import SITS/SITS do not cleanup when table shrinks on import</t>
  </si>
  <si>
    <t>TODO:</t>
  </si>
  <si>
    <t>Programmable warning conditional formatting for SITS</t>
  </si>
  <si>
    <t>FlynnC104</t>
  </si>
  <si>
    <t>DATA_IMPORTED</t>
  </si>
  <si>
    <t>3.36</t>
  </si>
  <si>
    <t>915.80</t>
  </si>
  <si>
    <t>3485.00</t>
  </si>
  <si>
    <t>1589.44</t>
  </si>
  <si>
    <t>2353.00</t>
  </si>
  <si>
    <t>3592.00</t>
  </si>
  <si>
    <t>2911.50</t>
  </si>
  <si>
    <t>1300.00</t>
  </si>
  <si>
    <t>2316:12</t>
  </si>
  <si>
    <t>2346:54</t>
  </si>
  <si>
    <t>6361.00</t>
  </si>
  <si>
    <t>348.00</t>
  </si>
  <si>
    <t>330.00</t>
  </si>
  <si>
    <t>62.05</t>
  </si>
  <si>
    <t>1.78</t>
  </si>
  <si>
    <t>2000:35</t>
  </si>
  <si>
    <t>4050.00</t>
  </si>
  <si>
    <t>11:10</t>
  </si>
  <si>
    <t>775.00</t>
  </si>
  <si>
    <t>1426.00</t>
  </si>
  <si>
    <t>100:24</t>
  </si>
  <si>
    <t>100.00</t>
  </si>
  <si>
    <t>0:40</t>
  </si>
  <si>
    <t>715.00</t>
  </si>
  <si>
    <t>24198.00</t>
  </si>
  <si>
    <t>ZZ383</t>
  </si>
  <si>
    <t>WC/PMP/7200010</t>
  </si>
  <si>
    <t>ENGINE DDE COMBUSTION CHAMBER BORESCOPE INSPECTION</t>
  </si>
  <si>
    <t>P4N155</t>
  </si>
  <si>
    <t>7200010</t>
  </si>
  <si>
    <t>48:26</t>
  </si>
  <si>
    <t>WC/PMP/7200005</t>
  </si>
  <si>
    <t>ENGINE COMBUSTOR BORESCOPE INSPECTION</t>
  </si>
  <si>
    <t>7200005</t>
  </si>
  <si>
    <t>115:43</t>
  </si>
  <si>
    <t>WC/PMP/7200008</t>
  </si>
  <si>
    <t>ENGINE INLET FLANGE WELD AREA - EXAMINE</t>
  </si>
  <si>
    <t>7200008</t>
  </si>
  <si>
    <t>P4N175</t>
  </si>
  <si>
    <t>63:40</t>
  </si>
  <si>
    <t>WC/PMP/7200013/1</t>
  </si>
  <si>
    <t>PRE-MOD 0150 - INSPECT STG 1 PT BLADES FOR HGC</t>
  </si>
  <si>
    <t>TW512654</t>
  </si>
  <si>
    <t>7200013</t>
  </si>
  <si>
    <t>LH11366-01</t>
  </si>
  <si>
    <t>1000:00</t>
  </si>
  <si>
    <t>970:00</t>
  </si>
  <si>
    <t>112:21</t>
  </si>
  <si>
    <t>WCR0013PTB/ENG/3</t>
  </si>
  <si>
    <t>HGC FOUND REJECT PT MODULE AFTER 250HRS</t>
  </si>
  <si>
    <t>RTI 0013</t>
  </si>
  <si>
    <t>225:00</t>
  </si>
  <si>
    <t>ADY1750</t>
  </si>
  <si>
    <t>8:51</t>
  </si>
  <si>
    <t>9:30</t>
  </si>
  <si>
    <t>PZL0109</t>
  </si>
  <si>
    <t>1</t>
  </si>
  <si>
    <t>3X SMALL INDENTATIONS</t>
  </si>
  <si>
    <t>11:41</t>
  </si>
  <si>
    <t>3</t>
  </si>
  <si>
    <t>1X DENT</t>
  </si>
  <si>
    <t>13:07</t>
  </si>
  <si>
    <t>PT3-H</t>
  </si>
  <si>
    <t>DEFERRED FAULT - HOSE TO BE REPLACED AT NEXT SUITABLE MAINTENANCE OPPORTUNITY (ALIGNED WITH WRI/WG1568-0403/C/REPAIR)
QQOOL-A</t>
  </si>
  <si>
    <t>NO2 ENG RGB VENT HOSE</t>
  </si>
  <si>
    <t>19:54</t>
  </si>
  <si>
    <t>14:54</t>
  </si>
  <si>
    <t>16:15</t>
  </si>
  <si>
    <t>TAF2467</t>
  </si>
  <si>
    <t>22:46</t>
  </si>
  <si>
    <t>23:06</t>
  </si>
  <si>
    <t>ZZ383MODS</t>
  </si>
  <si>
    <t>34:30</t>
  </si>
  <si>
    <t>BAT9767</t>
  </si>
  <si>
    <t>ABG2883</t>
  </si>
  <si>
    <t>41:24</t>
  </si>
  <si>
    <t>WA/R/AEB5439</t>
  </si>
  <si>
    <t>BBA1526</t>
  </si>
  <si>
    <t>WG1539-0095-053</t>
  </si>
  <si>
    <t>BAY2196</t>
  </si>
  <si>
    <t>BAY2205</t>
  </si>
  <si>
    <t>BBA3542</t>
  </si>
  <si>
    <t>BAM8806</t>
  </si>
  <si>
    <t>45:14</t>
  </si>
  <si>
    <t>BAL6464</t>
  </si>
  <si>
    <t>BAM3945</t>
  </si>
  <si>
    <t>AEX0472</t>
  </si>
  <si>
    <t>46:43</t>
  </si>
  <si>
    <t>50:45</t>
  </si>
  <si>
    <t>56:23</t>
  </si>
  <si>
    <t>WC/PMP/2521002</t>
  </si>
  <si>
    <t>TROOP SEATS - INTENSIVE VISUAL EXAMINATION</t>
  </si>
  <si>
    <t>3155319</t>
  </si>
  <si>
    <t>300 HRS</t>
  </si>
  <si>
    <t>119200-3</t>
  </si>
  <si>
    <t>54786</t>
  </si>
  <si>
    <t>61:58</t>
  </si>
  <si>
    <t>WC/PMP/2521003</t>
  </si>
  <si>
    <t>EXAMINE TROOP SEATS RESTRAINT SYSTEM</t>
  </si>
  <si>
    <t>2004886</t>
  </si>
  <si>
    <t>119205-5</t>
  </si>
  <si>
    <t>64:46</t>
  </si>
  <si>
    <t>3764509</t>
  </si>
  <si>
    <t>76:23</t>
  </si>
  <si>
    <t>1500224</t>
  </si>
  <si>
    <t>WC/PMP/6220006</t>
  </si>
  <si>
    <t>MRH SPIDER ASSEMBLY - EXAMINE</t>
  </si>
  <si>
    <t>6220006</t>
  </si>
  <si>
    <t>86:14</t>
  </si>
  <si>
    <t>BAN5958</t>
  </si>
  <si>
    <t>WG1369-0090-069</t>
  </si>
  <si>
    <t>91:24</t>
  </si>
  <si>
    <t>BAT7127</t>
  </si>
  <si>
    <t>AED3315</t>
  </si>
  <si>
    <t>AEK5480</t>
  </si>
  <si>
    <t>FROM REPAIR UP TO 500 HRS</t>
  </si>
  <si>
    <t>BAL3172</t>
  </si>
  <si>
    <t>ACX4989</t>
  </si>
  <si>
    <t>96:21</t>
  </si>
  <si>
    <t>102:12</t>
  </si>
  <si>
    <t>116.64</t>
  </si>
  <si>
    <t>9461.00</t>
  </si>
  <si>
    <t>9764.00</t>
  </si>
  <si>
    <t>WC/LLC/956100102/1</t>
  </si>
  <si>
    <t>FLOTATION BAG STBD FWD</t>
  </si>
  <si>
    <t>406341</t>
  </si>
  <si>
    <t>FLOT BAG FILL COMMENTS</t>
  </si>
  <si>
    <t>WG1579-0012-002</t>
  </si>
  <si>
    <t>WC/LLC/956100202/1</t>
  </si>
  <si>
    <t>FLOTATION BAG STBD AFT</t>
  </si>
  <si>
    <t>411915</t>
  </si>
  <si>
    <t>FILLS INFO SEE COMMENTS</t>
  </si>
  <si>
    <t>WG1579-0013-002</t>
  </si>
  <si>
    <t>WC/LLC/956100101/1</t>
  </si>
  <si>
    <t>FLOTATION BAG PORT FWD</t>
  </si>
  <si>
    <t>413081</t>
  </si>
  <si>
    <t>WG1579-0012-001</t>
  </si>
  <si>
    <t>WC/LLC/956100201/1</t>
  </si>
  <si>
    <t>FLOTATION BAG PORT AFT</t>
  </si>
  <si>
    <t>662721</t>
  </si>
  <si>
    <t>WG1579-0013-001</t>
  </si>
  <si>
    <t>7.00</t>
  </si>
  <si>
    <t>WC/LLC/344000001</t>
  </si>
  <si>
    <t>IGI BATTERY</t>
  </si>
  <si>
    <t>42682</t>
  </si>
  <si>
    <t>HG9873J01-002</t>
  </si>
  <si>
    <t>0BFA5</t>
  </si>
  <si>
    <t>11.00</t>
  </si>
  <si>
    <t>WC/MISC05</t>
  </si>
  <si>
    <t>SOAP REPORT PENDING</t>
  </si>
  <si>
    <t>MISC 05</t>
  </si>
  <si>
    <t>WC/PMP/2400001</t>
  </si>
  <si>
    <t>CIRCUIT BREAKERS - OPERATION TESTS</t>
  </si>
  <si>
    <t>2400001</t>
  </si>
  <si>
    <t>19.00</t>
  </si>
  <si>
    <t>WC/PMP/2161001/1</t>
  </si>
  <si>
    <t>HEATING PIPE (PRE-MOD W1015) - INTENSIVE VISUAL EXAMINATION</t>
  </si>
  <si>
    <t>2161001</t>
  </si>
  <si>
    <t>WC/PMP/6320009/1</t>
  </si>
  <si>
    <t>ROTOR BRAKE - EXAMINE</t>
  </si>
  <si>
    <t>6320009</t>
  </si>
  <si>
    <t>DEFERRED FAULT - PILOTS COCKPIT DOOR(NSN 1560-99-2584501) TO BE REPLACED AS COMPLETE ASSEMBLY OROS DUE TO LATCH ASSEMBLY UNAVAILABLE AS LOWER ASSEMBLY. QQOOL-A</t>
  </si>
  <si>
    <t>PILOT COCKPIT DOOR LATCH</t>
  </si>
  <si>
    <t>65.00</t>
  </si>
  <si>
    <t>1098.00</t>
  </si>
  <si>
    <t>193</t>
  </si>
  <si>
    <t>DEFERRED FAULT - ENG 1 AND ENG 2 SERVICING PLATFORM P-CLIP (NSN: 5340-99-6908011, PT NO: DSR04630-1005) TO BE REPLACED ON RECEIPT OF SPARES. P-CLIP RUBBER PORTIONS SECURED WITH SELF-AMALGAMATING TAPE. TO BE CHECKED EVERY DFS/TFS. QQOOL-A</t>
  </si>
  <si>
    <t>ENG1/2 PLATFORM P-CLIPS</t>
  </si>
  <si>
    <t>34.00</t>
  </si>
  <si>
    <t>194</t>
  </si>
  <si>
    <t xml:space="preserve">DEFERRED FAULT - NO1 ENGINE OUTBOARD SPARK IGNITER CABLE ASSEMBLY P-CLIP (NSN:5340-01-5791921 PT NO:LH30337-07) TO BE REPLACED ON RECIEPT OF SPARES. P-CPLI RUBBER PORTION SECURED WITH SELF-AMALGAMATING TAPE. TO BE CHECKED FOR SECURITY OF ATTACHMENT EVERY </t>
  </si>
  <si>
    <t>195</t>
  </si>
  <si>
    <t>DEFERRED FAULT - TRH YELLOW AND WHITE DAMPER ROD EYE END GAITERS (NSN: 1650-99-3787341, PT WG1539-0174-101) TO BE REPLACED ON RECEIPT OF SPARES. TRH YELLOW AND WHITE EYE ENDS TO BE INSPECTED FOR WEAR EVERY DFS/TFS. QQOOL-A</t>
  </si>
  <si>
    <t>TRH WHITE + YELLOW DAMPER</t>
  </si>
  <si>
    <t>WC/OHL/956100701/2</t>
  </si>
  <si>
    <t>LH/RH AFT FLOTATION BOTTLE</t>
  </si>
  <si>
    <t>LK458</t>
  </si>
  <si>
    <t>WG1579-0097-001</t>
  </si>
  <si>
    <t>1820.00</t>
  </si>
  <si>
    <t>1790.00</t>
  </si>
  <si>
    <t>6.00</t>
  </si>
  <si>
    <t>WC/LLC/956100801</t>
  </si>
  <si>
    <t>FWD FLOTATION BAG - BAY MAINTENANCE</t>
  </si>
  <si>
    <t>A</t>
  </si>
  <si>
    <t>12.00</t>
  </si>
  <si>
    <t>21</t>
  </si>
  <si>
    <t>NIL WINCHING FACILITY</t>
  </si>
  <si>
    <t>151</t>
  </si>
  <si>
    <t>DEFERRED FAULT - DENTS TO BE REPAIRED AT THE NEXT SUITABLE MAINTENANCE OPPORTUNITY (POST EX PINION TITIAN) IAW WRI-WG1511-0200-B, DAMAGE TO BE INSPECTED EVERY 50HH FOR PAINT FINISH DEGREDATION AND SIGNS OF DELAMINTATION. QQOOL-C</t>
  </si>
  <si>
    <t>21X SMALL INDENTATIONS</t>
  </si>
  <si>
    <t>1368.00</t>
  </si>
  <si>
    <t>DEFERRED FAULT - FAULT TO BE RECTIFIED AT NEXT SUITABLE MAINTENCE OPPORTUNITY (POST EX PINION TITIAN) IAW WRI-WG1511-5010A. DENT TO BE INSPECTED FOR SIGNS OF DELAMINATION AND DEGRADATION OF SURFACE FINISH EVERY 50:00 HH 
QQOOL-C</t>
  </si>
  <si>
    <t>PORT SIDE SKIN DENT</t>
  </si>
  <si>
    <t>178.00</t>
  </si>
  <si>
    <t>173.00</t>
  </si>
  <si>
    <t>454.00</t>
  </si>
  <si>
    <t>WC/LLC/956100802</t>
  </si>
  <si>
    <t>AFT FLOTATION BAG - BAY MAINTENANCE</t>
  </si>
  <si>
    <t>WCR0164PTC</t>
  </si>
  <si>
    <t>WILDCAT AFT FLOTATION POD APPLICATION OF ANTI-CHAFE TAPE (INTERNALLY)</t>
  </si>
  <si>
    <t>0171</t>
  </si>
  <si>
    <t>RTI/WC/0164PTC</t>
  </si>
  <si>
    <t>WG1579-0011-045</t>
  </si>
  <si>
    <t>13.00</t>
  </si>
  <si>
    <t>0006</t>
  </si>
  <si>
    <t>WG1579-0011-046</t>
  </si>
  <si>
    <t>19</t>
  </si>
  <si>
    <t>LIMITATION - EODS "NO BORE" REDUCED ELRF ACCURACY. ACCURATE FROM +/-1.5% TO +/-2.7% AND RANGE BY 10%.</t>
  </si>
  <si>
    <t>EODS NO BORE</t>
  </si>
  <si>
    <t>36.00</t>
  </si>
  <si>
    <t>167.00</t>
  </si>
  <si>
    <t>20</t>
  </si>
  <si>
    <t>LIMITATION - NO LIVE COUNTERMEASURES TO BE LOADED INTO THE CMDS. CMDS SYSTEM 14-DAY FUNCTIONAL TEST NOT CARRIED OUT. GO7 ANNEX H REFERS.</t>
  </si>
  <si>
    <t>CMDS FUNCTIONAL</t>
  </si>
  <si>
    <t>185</t>
  </si>
  <si>
    <t xml:space="preserve">DEFERRED FAULT - SHIELDING GASKETS (NSN: 5999-99-3286735 X 2 &amp; 5999-99-2133211 X 2 ) TO BE REPLACED ON RECIEPT OF STORES
QQDEV-A </t>
  </si>
  <si>
    <t>SHIELDING GASKETS</t>
  </si>
  <si>
    <t>5.00</t>
  </si>
  <si>
    <t>126.00</t>
  </si>
  <si>
    <t>186</t>
  </si>
  <si>
    <t xml:space="preserve">DEFERRED FAULT - DANGER DECAL (NSN: 7690-99-3486144) TO BE APPLIED ON RECEIPT OF SPARES QQAGS-A
</t>
  </si>
  <si>
    <t>DANGER DECAL</t>
  </si>
  <si>
    <t>187</t>
  </si>
  <si>
    <t>DEFERRED FAULT - RUBBING STRIP (PT NO. WG1510-0593-102) TO REPLACED ON RECIEPT OF SPARES. RUBBING STRIP RECEIVED, AWAITING GASKET (PT NO: WG1510-0595-001). 
QQOOL-A</t>
  </si>
  <si>
    <t>PILOT DOOR WINDOW</t>
  </si>
  <si>
    <t>133.00</t>
  </si>
  <si>
    <t>188</t>
  </si>
  <si>
    <t>DEFERRED FAULT - SHELF (PT NO. WG1582-2311-053, NSN: 5975-99-1870032) TO BE REPLACED ON RECEIPT OF SPARES. QQOOL-A</t>
  </si>
  <si>
    <t>AV SHELF DAMAGE</t>
  </si>
  <si>
    <t>98.00</t>
  </si>
  <si>
    <t>191</t>
  </si>
  <si>
    <t>DEFERRED FAULT - DAMAGED AREAS TO BE CLEANED AND ENVIRONMENTALLY SEALED. TO BE REPLACED OROS.
QQOOL-A</t>
  </si>
  <si>
    <t>PORT MLG</t>
  </si>
  <si>
    <t>192</t>
  </si>
  <si>
    <t>DEFERRED FAULT - BOOT TO BE REPLACED ON RECEIPT OF SPARES (LOWER STRAP NSN: 5975-00-4515001). RTV TO BE CHECKED FOR INTEGRITY AND TEAR PROPAGATION EVERY DFS/TFS. QQEVN-A</t>
  </si>
  <si>
    <t>LAT 7 GAITER</t>
  </si>
  <si>
    <t>14.00</t>
  </si>
  <si>
    <t>59.00</t>
  </si>
  <si>
    <t>WC/LLC/2620001XX</t>
  </si>
  <si>
    <t>LH/RH YELLOW FIRE EXTINGUISHER CARTRIDGES</t>
  </si>
  <si>
    <t>0525HF</t>
  </si>
  <si>
    <t>SEE TASK COMMENTS</t>
  </si>
  <si>
    <t>EA2600V006-002</t>
  </si>
  <si>
    <t>63.00</t>
  </si>
  <si>
    <t>0230HF</t>
  </si>
  <si>
    <t>64.00</t>
  </si>
  <si>
    <t>WC/LLC/2620002XX</t>
  </si>
  <si>
    <t>LH/RH GREY FIRE EXTINGUISHER CARTRIDGES</t>
  </si>
  <si>
    <t>DATA-INT/QA</t>
  </si>
  <si>
    <t>GOLDESP QA REPORT (WAS QA5)</t>
  </si>
  <si>
    <t>QAREPORT</t>
  </si>
  <si>
    <t>166.00</t>
  </si>
  <si>
    <t>69.00</t>
  </si>
  <si>
    <t>DATA-INT/WEIGHT</t>
  </si>
  <si>
    <t>GOLDESP WEIGHT AND BALANCE REPORT (WAS QA7)</t>
  </si>
  <si>
    <t>WTBALREP</t>
  </si>
  <si>
    <t>LK2141</t>
  </si>
  <si>
    <t>2154.00</t>
  </si>
  <si>
    <t>LK2142</t>
  </si>
  <si>
    <t>LK2143</t>
  </si>
  <si>
    <t>LK2144</t>
  </si>
  <si>
    <t>AT4012800</t>
  </si>
  <si>
    <t>79.00</t>
  </si>
  <si>
    <t>WC/PMP/1221003</t>
  </si>
  <si>
    <t>FOAM WASH  - EXTERNAL STATIC AND ROTARY SURFACES</t>
  </si>
  <si>
    <t>1221003</t>
  </si>
  <si>
    <t>WC/PMP/7920003</t>
  </si>
  <si>
    <t>DRAIN AND REPLACE THE ENGINE OIL</t>
  </si>
  <si>
    <t>7920003</t>
  </si>
  <si>
    <t>WC/PMP/9561012</t>
  </si>
  <si>
    <t>FLOTATION SYSTEM - FUNCTION TEST ELECT CIRCUITS</t>
  </si>
  <si>
    <t>9561012</t>
  </si>
  <si>
    <t>WC/PMP/6730002/1</t>
  </si>
  <si>
    <t>TRA - SPECIAL DETAILED EXAMINATION</t>
  </si>
  <si>
    <t>AAA022P742</t>
  </si>
  <si>
    <t>6730002</t>
  </si>
  <si>
    <t>WG1573-0400-001</t>
  </si>
  <si>
    <t>335.00</t>
  </si>
  <si>
    <t>25/01/2026</t>
  </si>
  <si>
    <t>08/11/2025</t>
  </si>
  <si>
    <t>09/11/2025</t>
  </si>
  <si>
    <t>10/11/2025</t>
  </si>
  <si>
    <t>11/11/2025</t>
  </si>
  <si>
    <t>14/11/2025</t>
  </si>
  <si>
    <t>27/11/2025</t>
  </si>
  <si>
    <t>03/12/2025</t>
  </si>
  <si>
    <t>10/12/2025</t>
  </si>
  <si>
    <t>20/12/2025</t>
  </si>
  <si>
    <t>29/12/2025</t>
  </si>
  <si>
    <t>05/01/2026</t>
  </si>
  <si>
    <t>13/01/2026</t>
  </si>
  <si>
    <t>17/01/2026</t>
  </si>
  <si>
    <t>31/01/2026</t>
  </si>
  <si>
    <t>26/01/2026</t>
  </si>
  <si>
    <t>02/11/2025</t>
  </si>
  <si>
    <t>04/01/2026</t>
  </si>
  <si>
    <t>13/11/2025</t>
  </si>
  <si>
    <t>21/11/2025</t>
  </si>
  <si>
    <t>11/12/2025</t>
  </si>
  <si>
    <t>10/01/2026</t>
  </si>
  <si>
    <t>29/01/2026</t>
  </si>
  <si>
    <t>30/01/2026</t>
  </si>
  <si>
    <t>Imported 136 rows from IMPORT sheet</t>
  </si>
  <si>
    <t>Associated task do not reforecast!</t>
  </si>
  <si>
    <t>7030ZZ383071125</t>
  </si>
  <si>
    <t>WP_CREATED</t>
  </si>
  <si>
    <t>Created with 7 tasks</t>
  </si>
  <si>
    <t xml:space="preserve">TODO: 
Delete associated ADF when PT2/3 claimed. Do this manually for now
Reforecast associated tasks. This will take some leg work to get working.
</t>
  </si>
  <si>
    <t>WP_COMPLETED</t>
  </si>
  <si>
    <t>Completed 7 tasks</t>
  </si>
  <si>
    <t>7034ZZ383081125</t>
  </si>
  <si>
    <t>Created with 2 tasks</t>
  </si>
  <si>
    <t>Completed 2 tasks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</si>
</sst>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dd/mm/yy;@"/>
    <numFmt numFmtId="166" formatCode="yyyy\-mm\-dd\ hh:mm:ss"/>
  </numFmts>
  <fonts count="20" x14ac:knownFonts="1">
    <font>
      <sz val="11"/>
      <color theme="1"/>
      <name val="Aptos Narrow"/>
      <family val="2"/>
      <scheme val="minor"/>
    </font>
    <font>
      <b/>
      <sz val="11"/>
      <color theme="1"/>
      <name val="Aptos Narrow"/>
      <family val="2"/>
      <scheme val="minor"/>
    </font>
    <font>
      <b/>
      <sz val="11"/>
      <name val="Calibri"/>
      <family val="2"/>
    </font>
    <font>
      <sz val="8"/>
      <name val="Aptos Narrow"/>
      <family val="2"/>
      <scheme val="minor"/>
    </font>
    <font>
      <b/>
      <sz val="11"/>
      <name val="Calibri"/>
      <family val="2"/>
    </font>
    <font>
      <b/>
      <sz val="18"/>
      <color theme="1"/>
      <name val="Aptos Narrow"/>
      <family val="2"/>
      <scheme val="minor"/>
    </font>
    <font>
      <b/>
      <sz val="24"/>
      <color theme="1"/>
      <name val="Aptos Narrow"/>
      <family val="2"/>
      <scheme val="minor"/>
    </font>
    <font>
      <sz val="11"/>
      <color theme="0"/>
      <name val="Aptos Narrow"/>
      <family val="2"/>
      <scheme val="minor"/>
    </font>
    <font>
      <i/>
      <sz val="11"/>
      <color theme="1"/>
      <name val="Aptos Narrow"/>
      <family val="2"/>
      <scheme val="minor"/>
    </font>
    <font>
      <sz val="11"/>
      <color theme="1"/>
      <name val="Aptos Narrow"/>
      <family val="2"/>
      <scheme val="minor"/>
    </font>
    <font>
      <sz val="11"/>
      <color rgb="FFFF0000"/>
      <name val="Aptos Narrow"/>
      <family val="2"/>
      <scheme val="minor"/>
    </font>
    <font>
      <b/>
      <sz val="48"/>
      <color theme="1"/>
      <name val="Aptos Narrow"/>
      <family val="2"/>
      <scheme val="minor"/>
    </font>
    <font>
      <sz val="16"/>
      <color theme="1"/>
      <name val="Aptos Narrow"/>
      <family val="2"/>
      <scheme val="minor"/>
    </font>
    <font>
      <sz val="16"/>
      <color rgb="FFFF0000"/>
      <name val="Aptos Narrow"/>
      <family val="2"/>
      <scheme val="minor"/>
    </font>
    <font>
      <b/>
      <sz val="28"/>
      <color theme="1"/>
      <name val="Aptos Narrow"/>
      <family val="2"/>
      <scheme val="minor"/>
    </font>
    <font>
      <b/>
      <sz val="11"/>
      <name val="Calibri"/>
      <family val="2"/>
    </font>
    <font>
      <sz val="10"/>
      <color rgb="FF323130"/>
      <name val="Arial Unicode MS"/>
      <family val="2"/>
    </font>
    <font>
      <b/>
      <sz val="11"/>
      <name val="Aptos Narrow"/>
      <family val="2"/>
      <scheme val="minor"/>
    </font>
    <font>
      <sz val="11"/>
      <name val="Aptos Narrow"/>
      <family val="2"/>
      <scheme val="minor"/>
    </font>
    <font>
      <sz val="14"/>
      <color rgb="FFFF0000"/>
      <name val="Aptos Narrow"/>
      <family val="2"/>
      <scheme val="minor"/>
    </font>
  </fonts>
  <fills count="21">
    <fill>
      <patternFill patternType="none"/>
    </fill>
    <fill>
      <patternFill patternType="gray125"/>
    </fill>
    <fill>
      <patternFill patternType="solid">
        <fgColor indexed="22"/>
      </patternFill>
    </fill>
    <fill>
      <patternFill patternType="solid">
        <fgColor theme="3" tint="0.749992370372631"/>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CE3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C0E6F5"/>
        <bgColor indexed="64"/>
      </patternFill>
    </fill>
    <fill>
      <patternFill patternType="solid">
        <fgColor rgb="FFFFE48F"/>
        <bgColor indexed="64"/>
      </patternFill>
    </fill>
    <fill>
      <patternFill patternType="solid">
        <fgColor theme="1"/>
        <bgColor indexed="64"/>
      </patternFill>
    </fill>
    <fill>
      <patternFill patternType="solid">
        <fgColor rgb="FFFF0000"/>
        <bgColor indexed="64"/>
      </patternFill>
    </fill>
    <fill>
      <patternFill patternType="solid">
        <fgColor theme="6" tint="0.79998168889431442"/>
        <bgColor indexed="64"/>
      </patternFill>
    </fill>
    <fill>
      <patternFill patternType="solid">
        <fgColor rgb="FFC1F0C8"/>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9" tint="0.59999389629810485"/>
        <bgColor indexed="64"/>
      </patternFill>
    </fill>
  </fills>
  <borders count="19">
    <border>
      <left/>
      <right/>
      <top/>
      <bottom/>
      <diagonal/>
    </border>
    <border>
      <left style="thin">
        <color indexed="17"/>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8"/>
      </bottom>
      <diagonal/>
    </border>
    <border>
      <left style="thin">
        <color indexed="64"/>
      </left>
      <right/>
      <top style="thin">
        <color indexed="64"/>
      </top>
      <bottom style="thin">
        <color indexed="64"/>
      </bottom>
      <diagonal/>
    </border>
  </borders>
  <cellStyleXfs count="2">
    <xf numFmtId="0" fontId="0" fillId="0" borderId="0"/>
    <xf numFmtId="9" fontId="9" fillId="0" borderId="0" applyFont="0" applyFill="0" applyBorder="0" applyAlignment="0" applyProtection="0"/>
  </cellStyleXfs>
  <cellXfs count="135">
    <xf numFmtId="0" fontId="0" fillId="0" borderId="0" xfId="0"/>
    <xf numFmtId="0" fontId="0" fillId="0" borderId="0" xfId="0" applyAlignment="1">
      <alignment wrapText="1"/>
    </xf>
    <xf numFmtId="0" fontId="0" fillId="0" borderId="0" xfId="0">
      <extLst>
        <ext xmlns:xfpb="http://schemas.microsoft.com/office/spreadsheetml/2022/featurepropertybag" uri="{C7286773-470A-42A8-94C5-96B5CB345126}">
          <xfpb:xfComplement i="0"/>
        </ext>
      </extLst>
    </xf>
    <xf numFmtId="2" fontId="0" fillId="0" borderId="0" xfId="0" applyNumberFormat="1"/>
    <xf numFmtId="0" fontId="0" fillId="0" borderId="0" xfId="0" applyAlignment="1">
      <alignment horizontal="center"/>
    </xf>
    <xf numFmtId="0" fontId="0" fillId="8" borderId="2" xfId="0" applyFill="1" applyBorder="1"/>
    <xf numFmtId="2" fontId="0" fillId="10" borderId="2" xfId="0" applyNumberFormat="1" applyFill="1" applyBorder="1"/>
    <xf numFmtId="164" fontId="0" fillId="10" borderId="2" xfId="0" applyNumberFormat="1" applyFill="1" applyBorder="1"/>
    <xf numFmtId="0" fontId="0" fillId="10" borderId="2" xfId="0" applyFill="1" applyBorder="1"/>
    <xf numFmtId="0" fontId="1" fillId="11" borderId="2" xfId="0" applyFont="1" applyFill="1" applyBorder="1" applyAlignment="1">
      <alignment horizontal="center"/>
    </xf>
    <xf numFmtId="0" fontId="1" fillId="11" borderId="2" xfId="0" applyFont="1" applyFill="1" applyBorder="1" applyAlignment="1">
      <alignment horizontal="center" vertical="center"/>
    </xf>
    <xf numFmtId="0" fontId="0" fillId="12" borderId="2" xfId="0" applyFill="1" applyBorder="1"/>
    <xf numFmtId="2" fontId="1" fillId="13" borderId="2" xfId="0" applyNumberFormat="1" applyFont="1" applyFill="1" applyBorder="1"/>
    <xf numFmtId="164" fontId="1" fillId="13" borderId="2" xfId="0" applyNumberFormat="1" applyFont="1" applyFill="1" applyBorder="1"/>
    <xf numFmtId="165" fontId="1" fillId="13" borderId="2" xfId="0" applyNumberFormat="1" applyFont="1" applyFill="1" applyBorder="1"/>
    <xf numFmtId="0" fontId="0" fillId="14" borderId="0" xfId="0" applyFill="1"/>
    <xf numFmtId="164" fontId="0" fillId="0" borderId="0" xfId="0" applyNumberFormat="1"/>
    <xf numFmtId="0" fontId="0" fillId="10" borderId="9" xfId="0" applyFill="1" applyBorder="1"/>
    <xf numFmtId="0" fontId="0" fillId="8" borderId="10" xfId="0" applyFill="1" applyBorder="1"/>
    <xf numFmtId="0" fontId="0" fillId="10" borderId="11" xfId="0" applyFill="1" applyBorder="1"/>
    <xf numFmtId="0" fontId="0" fillId="10" borderId="12" xfId="0" applyFill="1" applyBorder="1"/>
    <xf numFmtId="164" fontId="1" fillId="13" borderId="12" xfId="0" applyNumberFormat="1" applyFont="1" applyFill="1" applyBorder="1"/>
    <xf numFmtId="0" fontId="0" fillId="8" borderId="13" xfId="0" applyFill="1" applyBorder="1"/>
    <xf numFmtId="2" fontId="0" fillId="0" borderId="0" xfId="0" applyNumberFormat="1" applyAlignment="1">
      <alignment horizontal="center"/>
    </xf>
    <xf numFmtId="164" fontId="0" fillId="0" borderId="0" xfId="0" quotePrefix="1" applyNumberFormat="1"/>
    <xf numFmtId="165" fontId="0" fillId="0" borderId="0" xfId="0" applyNumberFormat="1" applyAlignment="1">
      <alignment horizontal="center"/>
    </xf>
    <xf numFmtId="164" fontId="0" fillId="0" borderId="0" xfId="0" quotePrefix="1" applyNumberFormat="1" applyAlignment="1">
      <alignment horizontal="center"/>
    </xf>
    <xf numFmtId="164" fontId="0" fillId="0" borderId="0" xfId="0" applyNumberFormat="1" applyAlignment="1">
      <alignment horizontal="center"/>
    </xf>
    <xf numFmtId="2" fontId="0" fillId="0" borderId="0" xfId="0" quotePrefix="1" applyNumberFormat="1" applyAlignment="1">
      <alignment horizontal="center"/>
    </xf>
    <xf numFmtId="165" fontId="0" fillId="0" borderId="0" xfId="0" quotePrefix="1" applyNumberFormat="1" applyAlignment="1">
      <alignment horizontal="center"/>
    </xf>
    <xf numFmtId="14" fontId="0" fillId="0" borderId="0" xfId="0" applyNumberFormat="1" applyAlignment="1">
      <alignment horizontal="center"/>
    </xf>
    <xf numFmtId="0" fontId="0" fillId="0" borderId="0" xfId="0" applyBorder="1" applyAlignment="1">
      <alignment horizontal="center"/>
    </xf>
    <xf numFmtId="0" fontId="0" fillId="0" borderId="0" xfId="0" applyBorder="1"/>
    <xf numFmtId="164" fontId="0" fillId="0" borderId="0" xfId="0" applyNumberFormat="1" applyBorder="1" applyAlignment="1">
      <alignment horizontal="center"/>
    </xf>
    <xf numFmtId="14" fontId="0" fillId="0" borderId="0" xfId="0" applyNumberFormat="1" applyBorder="1" applyAlignment="1">
      <alignment horizontal="center"/>
    </xf>
    <xf numFmtId="0" fontId="0" fillId="0" borderId="0" xfId="0" applyAlignment="1">
      <alignment vertical="center"/>
    </xf>
    <xf numFmtId="0" fontId="0" fillId="0" borderId="0" xfId="0" applyAlignment="1">
      <alignment horizontal="center" vertical="center"/>
    </xf>
    <xf numFmtId="0" fontId="8"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right" vertical="center"/>
    </xf>
    <xf numFmtId="0" fontId="1" fillId="0" borderId="0" xfId="0" applyFont="1"/>
    <xf numFmtId="0" fontId="0" fillId="0" borderId="0" xfId="0" applyNumberFormat="1"/>
    <xf numFmtId="0" fontId="0" fillId="0" borderId="0" xfId="0" applyNumberFormat="1" applyAlignment="1">
      <alignment horizontal="center"/>
    </xf>
    <xf numFmtId="0" fontId="0" fillId="16" borderId="0" xfId="0" applyFill="1" applyAlignment="1">
      <alignment horizontal="center" vertical="center"/>
    </xf>
    <xf numFmtId="164" fontId="0" fillId="0" borderId="0" xfId="0" applyNumberFormat="1" applyAlignment="1">
      <alignment horizontal="center" wrapText="1"/>
    </xf>
    <xf numFmtId="164" fontId="0" fillId="0" borderId="0" xfId="0" applyNumberFormat="1" applyBorder="1" applyAlignment="1">
      <alignment horizontal="center" wrapText="1"/>
    </xf>
    <xf numFmtId="2" fontId="0" fillId="0" borderId="0" xfId="0" applyNumberFormat="1" applyAlignment="1">
      <alignment horizontal="center" wrapText="1"/>
    </xf>
    <xf numFmtId="14" fontId="0" fillId="0" borderId="0" xfId="0" applyNumberFormat="1" applyAlignment="1">
      <alignment horizontal="center" wrapText="1"/>
    </xf>
    <xf numFmtId="14" fontId="0" fillId="0" borderId="0" xfId="0" applyNumberFormat="1" applyBorder="1" applyAlignment="1">
      <alignment horizontal="center" wrapText="1"/>
    </xf>
    <xf numFmtId="9" fontId="0" fillId="0" borderId="0" xfId="1" applyFont="1" applyBorder="1" applyAlignment="1">
      <alignment horizontal="center"/>
    </xf>
    <xf numFmtId="0" fontId="0" fillId="0" borderId="0" xfId="0" applyFill="1" applyBorder="1"/>
    <xf numFmtId="0" fontId="10" fillId="0" borderId="0" xfId="0" applyFont="1" applyAlignment="1">
      <alignment horizontal="left" vertical="center"/>
    </xf>
    <xf numFmtId="0" fontId="0" fillId="0" borderId="0" xfId="0" applyNumberFormat="1" applyBorder="1" applyAlignment="1">
      <alignment horizontal="center"/>
    </xf>
    <xf numFmtId="2" fontId="0" fillId="0" borderId="0" xfId="0" applyNumberFormat="1" applyBorder="1" applyAlignment="1">
      <alignment horizontal="center"/>
    </xf>
    <xf numFmtId="2" fontId="0" fillId="0" borderId="0" xfId="0" applyNumberFormat="1" applyBorder="1" applyAlignment="1">
      <alignment horizontal="center" wrapText="1"/>
    </xf>
    <xf numFmtId="0" fontId="5" fillId="0" borderId="0" xfId="0" applyFont="1" applyAlignment="1">
      <alignment horizontal="center" vertical="center"/>
    </xf>
    <xf numFmtId="0" fontId="11" fillId="0" borderId="0" xfId="0" applyFont="1" applyAlignment="1">
      <alignment horizontal="center" vertical="center"/>
    </xf>
    <xf numFmtId="0" fontId="10" fillId="0" borderId="0" xfId="0" applyFont="1" applyAlignment="1">
      <alignment horizontal="left" vertical="top" wrapText="1"/>
    </xf>
    <xf numFmtId="0" fontId="0" fillId="0" borderId="0" xfId="0" applyNumberFormat="1" applyAlignment="1">
      <alignment horizontal="left"/>
    </xf>
    <xf numFmtId="14" fontId="0" fillId="0" borderId="0" xfId="0" applyNumberFormat="1"/>
    <xf numFmtId="0" fontId="0" fillId="0" borderId="0" xfId="0" applyNumberFormat="1" applyAlignment="1">
      <alignment wrapText="1"/>
    </xf>
    <xf numFmtId="0" fontId="12" fillId="0" borderId="0" xfId="0" applyFont="1" applyAlignment="1">
      <alignment horizontal="center" vertical="center"/>
    </xf>
    <xf numFmtId="0" fontId="13" fillId="0" borderId="0" xfId="0" applyFont="1" applyAlignment="1">
      <alignment horizontal="center" vertical="center" wrapText="1"/>
    </xf>
    <xf numFmtId="0" fontId="0" fillId="0" borderId="0" xfId="0" applyNumberFormat="1" applyAlignment="1"/>
    <xf numFmtId="0" fontId="0" fillId="0" borderId="0" xfId="0" applyNumberFormat="1" applyAlignment="1">
      <extLst>
        <ext xmlns:xfpb="http://schemas.microsoft.com/office/spreadsheetml/2022/featurepropertybag" uri="{C7286773-470A-42A8-94C5-96B5CB345126}">
          <xfpb:xfComplement i="0"/>
        </ext>
      </extLst>
    </xf>
    <xf numFmtId="0" fontId="0" fillId="0" borderId="0" xfId="0" applyAlignment="1">
      <extLst>
        <ext xmlns:xfpb="http://schemas.microsoft.com/office/spreadsheetml/2022/featurepropertybag" uri="{C7286773-470A-42A8-94C5-96B5CB345126}">
          <xfpb:xfComplement i="0"/>
        </ext>
      </extLst>
    </xf>
    <xf numFmtId="0" fontId="0" fillId="0" borderId="0" xfId="0" applyAlignment="1"/>
    <xf numFmtId="0" fontId="14" fillId="0" borderId="0" xfId="0" applyFont="1" applyAlignment="1">
      <alignment horizontal="center" vertical="center"/>
    </xf>
    <xf numFmtId="0" fontId="0" fillId="0" borderId="0" xfId="0" applyAlignment="1">
      <alignment horizontal="left"/>
    </xf>
    <xf numFmtId="14" fontId="0" fillId="0" borderId="0" xfId="0" applyNumberFormat="1" applyAlignment="1">
      <alignment horizontal="center"/>
    </xf>
    <xf numFmtId="49" fontId="0" fillId="0" borderId="0" xfId="0" applyNumberFormat="1"/>
    <xf numFmtId="14" fontId="16" fillId="0" borderId="0" xfId="0" applyNumberFormat="1" applyFont="1" applyAlignment="1">
      <alignment horizontal="center" vertical="center"/>
    </xf>
    <xf numFmtId="14" fontId="16" fillId="0" borderId="0" xfId="0" applyNumberFormat="1" applyFont="1" applyAlignment="1">
      <alignment horizontal="center" vertical="center"/>
    </xf>
    <xf numFmtId="0" fontId="0" fillId="0" borderId="0" xfId="0" applyFill="1" applyAlignment="1">
      <alignment horizontal="center"/>
    </xf>
    <xf numFmtId="0" fontId="7" fillId="0" borderId="0" xfId="0" applyFont="1" applyFill="1" applyBorder="1" applyAlignment="1">
      <alignment horizontal="center" vertical="center" wrapText="1"/>
    </xf>
    <xf numFmtId="2" fontId="0" fillId="0" borderId="0" xfId="0" applyNumberFormat="1" applyFill="1" applyBorder="1" applyAlignment="1">
      <alignment horizontal="center"/>
    </xf>
    <xf numFmtId="2" fontId="0" fillId="0" borderId="0" xfId="0" applyNumberFormat="1" applyFill="1" applyAlignment="1">
      <alignment horizontal="center"/>
    </xf>
    <xf numFmtId="0" fontId="0" fillId="0" borderId="0" xfId="0" applyNumberFormat="1" applyFill="1" applyAlignment="1">
      <alignment horizontal="center"/>
    </xf>
    <xf numFmtId="164" fontId="0" fillId="17" borderId="0" xfId="0" applyNumberFormat="1" applyFill="1" applyBorder="1" applyAlignment="1">
      <alignment horizontal="center"/>
    </xf>
    <xf numFmtId="14" fontId="0" fillId="0" borderId="0" xfId="0" applyNumberFormat="1" applyFill="1" applyBorder="1" applyAlignment="1">
      <alignment horizontal="center" wrapText="1"/>
    </xf>
    <xf numFmtId="14" fontId="0" fillId="0" borderId="0" xfId="0" applyNumberFormat="1" applyFill="1" applyAlignment="1">
      <alignment horizontal="center" wrapText="1"/>
    </xf>
    <xf numFmtId="164" fontId="0" fillId="0" borderId="0" xfId="0" applyNumberFormat="1" applyFill="1" applyBorder="1" applyAlignment="1">
      <alignment horizontal="center"/>
    </xf>
    <xf numFmtId="164" fontId="0" fillId="0" borderId="0" xfId="0" applyNumberFormat="1" applyFill="1" applyAlignment="1">
      <alignment horizontal="center"/>
    </xf>
    <xf numFmtId="0" fontId="2" fillId="2" borderId="1" xfId="0" applyFont="1" applyFill="1" applyBorder="1" applyAlignment="1">
      <alignment horizontal="center" vertical="center" wrapText="1"/>
    </xf>
    <xf numFmtId="166" fontId="0" fillId="0" borderId="0" xfId="0" applyNumberFormat="1"/>
    <xf numFmtId="0" fontId="15" fillId="2" borderId="1" xfId="0" applyNumberFormat="1" applyFont="1" applyFill="1" applyBorder="1" applyAlignment="1">
      <alignment horizontal="center" vertical="center" wrapText="1"/>
    </xf>
    <xf numFmtId="0" fontId="0" fillId="0" borderId="0" xfId="0" applyAlignment="1">
      <alignment vertical="center" wrapText="1"/>
    </xf>
    <xf numFmtId="0" fontId="0" fillId="0" borderId="0" xfId="0" applyBorder="1" applyAlignment="1">
      <alignment horizontal="left"/>
    </xf>
    <xf numFmtId="14" fontId="0" fillId="0" borderId="0" xfId="0" applyNumberFormat="1"/>
    <xf numFmtId="0" fontId="17" fillId="3" borderId="2" xfId="0" applyFont="1" applyFill="1" applyBorder="1" applyAlignment="1">
      <alignment horizontal="center" vertical="center" wrapText="1"/>
    </xf>
    <xf numFmtId="0" fontId="2" fillId="6"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7" borderId="2"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2" fillId="2" borderId="2" xfId="0" applyFont="1" applyFill="1" applyBorder="1" applyAlignment="1">
      <alignment horizontal="center" wrapText="1"/>
    </xf>
    <xf numFmtId="0" fontId="18" fillId="18" borderId="2" xfId="0" applyFont="1" applyFill="1" applyBorder="1" applyAlignment="1">
      <alignment horizontal="center" vertical="center" wrapText="1"/>
    </xf>
    <xf numFmtId="0" fontId="18" fillId="18" borderId="2" xfId="0" applyFont="1" applyFill="1" applyBorder="1" applyAlignment="1">
      <alignment vertical="center" wrapText="1"/>
    </xf>
    <xf numFmtId="0" fontId="18" fillId="18" borderId="2" xfId="0" applyFont="1" applyFill="1" applyBorder="1" applyAlignment="1">
      <alignment horizontal="center" vertical="center"/>
    </xf>
    <xf numFmtId="0" fontId="17" fillId="18" borderId="2" xfId="0" applyFont="1" applyFill="1" applyBorder="1" applyAlignment="1">
      <alignment horizontal="center" vertical="center"/>
    </xf>
    <xf numFmtId="166" fontId="17" fillId="18" borderId="2" xfId="0" applyNumberFormat="1" applyFont="1" applyFill="1" applyBorder="1" applyAlignment="1">
      <alignment horizontal="center" vertical="center"/>
    </xf>
    <xf numFmtId="20" fontId="0" fillId="0" borderId="0" xfId="0" applyNumberFormat="1"/>
    <xf numFmtId="46" fontId="0" fillId="0" borderId="0" xfId="0" applyNumberFormat="1"/>
    <xf numFmtId="0" fontId="0" fillId="19" borderId="2" xfId="0" applyFill="1" applyBorder="1"/>
    <xf numFmtId="164" fontId="0" fillId="20" borderId="0" xfId="0" applyNumberFormat="1" applyFill="1" applyAlignment="1">
      <alignment horizontal="center"/>
    </xf>
    <xf numFmtId="0" fontId="0" fillId="20" borderId="0" xfId="0" applyNumberFormat="1" applyFill="1" applyAlignment="1">
      <alignment horizontal="center"/>
    </xf>
    <xf numFmtId="14" fontId="16" fillId="0" borderId="0" xfId="0" applyNumberFormat="1" applyFont="1" applyAlignment="1">
      <alignment horizontal="center" vertical="center"/>
    </xf>
    <xf numFmtId="14" fontId="0" fillId="0" borderId="0" xfId="0" applyNumberFormat="1"/>
    <xf numFmtId="0" fontId="1" fillId="11" borderId="2" xfId="0" applyFont="1" applyFill="1" applyBorder="1" applyAlignment="1"/>
    <xf numFmtId="2" fontId="0" fillId="4" borderId="2" xfId="0" applyNumberFormat="1" applyFill="1" applyBorder="1" applyAlignment="1">
      <alignment horizontal="center"/>
    </xf>
    <xf numFmtId="2" fontId="0" fillId="5" borderId="2" xfId="0" applyNumberFormat="1" applyFill="1" applyBorder="1" applyAlignment="1">
      <alignment horizontal="center"/>
    </xf>
    <xf numFmtId="2" fontId="0" fillId="12" borderId="2" xfId="0" applyNumberFormat="1" applyFill="1" applyBorder="1" applyAlignment="1">
      <alignment horizontal="center"/>
    </xf>
    <xf numFmtId="164" fontId="0" fillId="9" borderId="2" xfId="0" applyNumberFormat="1" applyFill="1" applyBorder="1" applyAlignment="1">
      <alignment horizontal="center"/>
    </xf>
    <xf numFmtId="164" fontId="0" fillId="8" borderId="2" xfId="0" applyNumberFormat="1" applyFill="1" applyBorder="1" applyAlignment="1">
      <alignment horizontal="center"/>
    </xf>
    <xf numFmtId="0" fontId="0" fillId="0" borderId="2" xfId="0" applyBorder="1" applyAlignment="1">
      <alignment horizontal="center"/>
    </xf>
    <xf numFmtId="0" fontId="15" fillId="2" borderId="18" xfId="0" applyNumberFormat="1" applyFont="1" applyFill="1" applyBorder="1" applyAlignment="1">
      <alignment horizontal="center" vertical="center" wrapText="1"/>
    </xf>
    <xf numFmtId="0" fontId="0" fillId="0" borderId="0" xfId="0" applyBorder="1" applyAlignment="1">
      <alignment horizontal="center" vertical="center" wrapText="1"/>
    </xf>
    <xf numFmtId="14" fontId="0" fillId="0" borderId="0" xfId="0" applyNumberFormat="1" applyFill="1" applyAlignment="1">
      <alignment horizontal="center"/>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5" fillId="15" borderId="7" xfId="0" applyFont="1" applyFill="1" applyBorder="1" applyAlignment="1">
      <alignment horizontal="center" vertical="center"/>
    </xf>
    <xf numFmtId="0" fontId="5" fillId="15" borderId="3" xfId="0" applyFont="1" applyFill="1" applyBorder="1" applyAlignment="1">
      <alignment horizontal="center" vertical="center"/>
    </xf>
    <xf numFmtId="0" fontId="5" fillId="15" borderId="8" xfId="0" applyFont="1" applyFill="1" applyBorder="1" applyAlignment="1">
      <alignment horizontal="center" vertical="center"/>
    </xf>
    <xf numFmtId="0" fontId="11" fillId="0" borderId="0" xfId="0" applyFont="1" applyAlignment="1">
      <alignment horizontal="center" vertical="center"/>
    </xf>
    <xf numFmtId="0" fontId="10" fillId="0" borderId="0" xfId="0" applyFont="1" applyAlignment="1">
      <alignment horizontal="left" vertical="top" wrapText="1"/>
    </xf>
    <xf numFmtId="0" fontId="6" fillId="15" borderId="14" xfId="0" applyFont="1" applyFill="1" applyBorder="1" applyAlignment="1">
      <alignment horizontal="center" vertical="center"/>
    </xf>
    <xf numFmtId="0" fontId="6" fillId="15" borderId="15" xfId="0" applyFont="1" applyFill="1" applyBorder="1" applyAlignment="1">
      <alignment horizontal="center" vertical="center"/>
    </xf>
    <xf numFmtId="0" fontId="6" fillId="15" borderId="16" xfId="0" applyFont="1" applyFill="1" applyBorder="1" applyAlignment="1">
      <alignment horizontal="center" vertical="center"/>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0" fillId="0" borderId="0" xfId="0" applyAlignment="1">
      <alignment horizontal="center" vertical="center"/>
    </xf>
    <xf numFmtId="0" fontId="10" fillId="0" borderId="0" xfId="0" applyFont="1"/>
    <xf numFmtId="0" fontId="19" fillId="0" borderId="0" xfId="0" applyFont="1" applyAlignment="1">
      <alignment horizontal="left" vertical="top"/>
    </xf>
    <xf numFmtId="0" fontId="19" fillId="0" borderId="3" xfId="0" applyFont="1" applyBorder="1" applyAlignment="1">
      <alignment horizontal="left" vertical="top"/>
    </xf>
  </cellXfs>
  <cellStyles count="2">
    <cellStyle name="Normal" xfId="0" builtinId="0"/>
    <cellStyle name="Percent" xfId="1" builtinId="5"/>
  </cellStyles>
  <dxfs count="85">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theme="0" tint="-0.34998626667073579"/>
        </patternFill>
      </fill>
    </dxf>
    <dxf>
      <fill>
        <patternFill>
          <bgColor rgb="FFFFC000"/>
        </patternFill>
      </fill>
    </dxf>
    <dxf>
      <fill>
        <patternFill>
          <bgColor rgb="FFFF0000"/>
        </patternFill>
      </fill>
    </dxf>
    <dxf>
      <font>
        <color rgb="FF9C0006"/>
      </font>
      <fill>
        <patternFill>
          <bgColor rgb="FFFFC7CE"/>
        </patternFill>
      </fill>
    </dxf>
    <dxf>
      <numFmt numFmtId="164" formatCode="[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h]:mm"/>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dd/mm/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extLst>
        <ext xmlns:xfpb="http://schemas.microsoft.com/office/spreadsheetml/2022/featurepropertybag" uri="{0417FA29-78FA-4A13-93AC-8FF0FAFDF519}">
          <xfpb:DXFComplement i="0"/>
        </ext>
      </extLst>
    </dxf>
    <dxf>
      <alignment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auto="1"/>
        <name val="Calibri"/>
        <family val="2"/>
        <scheme val="none"/>
      </font>
      <fill>
        <patternFill patternType="solid">
          <fgColor indexed="64"/>
          <bgColor indexed="22"/>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dd/mm/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h]:mm"/>
      <alignment horizontal="center"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extLst>
        <ext xmlns:xfpb="http://schemas.microsoft.com/office/spreadsheetml/2022/featurepropertybag" uri="{0417FA29-78FA-4A13-93AC-8FF0FAFDF519}">
          <xfpb:DXFComplement i="0"/>
        </ext>
      </extLst>
    </dxf>
    <dxf>
      <alignment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auto="1"/>
        <name val="Calibri"/>
        <family val="2"/>
        <scheme val="none"/>
      </font>
      <fill>
        <patternFill patternType="solid">
          <fgColor indexed="64"/>
          <bgColor indexed="22"/>
        </patternFill>
      </fill>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E48F"/>
      <color rgb="FFFFCE33"/>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1/relationships/FeaturePropertyBag" Target="featurePropertyBag/featurePropertyBag.xml"/></Relationships>
</file>

<file path=xl/drawings/drawing1.xml><?xml version="1.0" encoding="utf-8"?>
<xdr:wsDr xmlns:xdr="http://schemas.openxmlformats.org/drawingml/2006/spreadsheetDrawing" xmlns:a="http://schemas.openxmlformats.org/drawingml/2006/main">
  <xdr:twoCellAnchor>
    <xdr:from>
      <xdr:col>6</xdr:col>
      <xdr:colOff>57150</xdr:colOff>
      <xdr:row>17</xdr:row>
      <xdr:rowOff>38100</xdr:rowOff>
    </xdr:from>
    <xdr:to>
      <xdr:col>7</xdr:col>
      <xdr:colOff>561975</xdr:colOff>
      <xdr:row>18</xdr:row>
      <xdr:rowOff>161925</xdr:rowOff>
    </xdr:to>
    <xdr:sp macro="[0]!ImportUsageData" textlink="">
      <xdr:nvSpPr>
        <xdr:cNvPr id="3" name="Rectangle: Rounded Corners 2">
          <a:extLst>
            <a:ext uri="{FF2B5EF4-FFF2-40B4-BE49-F238E27FC236}">
              <a16:creationId xmlns:a16="http://schemas.microsoft.com/office/drawing/2014/main" id="{F015A2C4-22CF-115A-A46A-0A8FB67F3F4C}"/>
            </a:ext>
          </a:extLst>
        </xdr:cNvPr>
        <xdr:cNvSpPr/>
      </xdr:nvSpPr>
      <xdr:spPr>
        <a:xfrm>
          <a:off x="5038725" y="3276600"/>
          <a:ext cx="1114425" cy="3143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kern="1200"/>
            <a:t>IMPORT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179295</xdr:colOff>
      <xdr:row>0</xdr:row>
      <xdr:rowOff>324971</xdr:rowOff>
    </xdr:from>
    <xdr:to>
      <xdr:col>2</xdr:col>
      <xdr:colOff>795619</xdr:colOff>
      <xdr:row>0</xdr:row>
      <xdr:rowOff>896471</xdr:rowOff>
    </xdr:to>
    <xdr:sp macro="[0]!ImportSITSData" textlink="">
      <xdr:nvSpPr>
        <xdr:cNvPr id="3" name="Rectangle: Rounded Corners 2">
          <a:extLst>
            <a:ext uri="{FF2B5EF4-FFF2-40B4-BE49-F238E27FC236}">
              <a16:creationId xmlns:a16="http://schemas.microsoft.com/office/drawing/2014/main" id="{A6B01C8D-E612-7638-5A31-D9CACC032C8A}"/>
            </a:ext>
          </a:extLst>
        </xdr:cNvPr>
        <xdr:cNvSpPr/>
      </xdr:nvSpPr>
      <xdr:spPr>
        <a:xfrm>
          <a:off x="3104030" y="324971"/>
          <a:ext cx="616324"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kern="1200"/>
            <a:t>IMPORT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352425</xdr:colOff>
      <xdr:row>1</xdr:row>
      <xdr:rowOff>123825</xdr:rowOff>
    </xdr:from>
    <xdr:to>
      <xdr:col>0</xdr:col>
      <xdr:colOff>1252425</xdr:colOff>
      <xdr:row>1</xdr:row>
      <xdr:rowOff>393825</xdr:rowOff>
    </xdr:to>
    <xdr:sp macro="[0]!ImportTasks" textlink="">
      <xdr:nvSpPr>
        <xdr:cNvPr id="2" name="Rectangle: Rounded Corners 1">
          <a:extLst>
            <a:ext uri="{FF2B5EF4-FFF2-40B4-BE49-F238E27FC236}">
              <a16:creationId xmlns:a16="http://schemas.microsoft.com/office/drawing/2014/main" id="{64022B10-27F7-420C-BCAE-E7C53C8FEF1E}"/>
            </a:ext>
          </a:extLst>
        </xdr:cNvPr>
        <xdr:cNvSpPr/>
      </xdr:nvSpPr>
      <xdr:spPr>
        <a:xfrm>
          <a:off x="352425" y="628650"/>
          <a:ext cx="900000" cy="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b="1" kern="1200"/>
            <a:t>PROCESS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352425</xdr:colOff>
      <xdr:row>0</xdr:row>
      <xdr:rowOff>123826</xdr:rowOff>
    </xdr:from>
    <xdr:to>
      <xdr:col>6</xdr:col>
      <xdr:colOff>892425</xdr:colOff>
      <xdr:row>0</xdr:row>
      <xdr:rowOff>393826</xdr:rowOff>
    </xdr:to>
    <xdr:sp macro="[0]!CreateWorkPackage" textlink="">
      <xdr:nvSpPr>
        <xdr:cNvPr id="4" name="Rectangle: Rounded Corners 3">
          <a:extLst>
            <a:ext uri="{FF2B5EF4-FFF2-40B4-BE49-F238E27FC236}">
              <a16:creationId xmlns:a16="http://schemas.microsoft.com/office/drawing/2014/main" id="{42F77BCC-E494-634A-CA9C-67B679B86B46}"/>
            </a:ext>
          </a:extLst>
        </xdr:cNvPr>
        <xdr:cNvSpPr/>
      </xdr:nvSpPr>
      <xdr:spPr>
        <a:xfrm>
          <a:off x="8343900" y="123826"/>
          <a:ext cx="540000" cy="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kern="1200"/>
            <a:t>OPEN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104774</xdr:colOff>
      <xdr:row>0</xdr:row>
      <xdr:rowOff>114301</xdr:rowOff>
    </xdr:from>
    <xdr:to>
      <xdr:col>3</xdr:col>
      <xdr:colOff>644774</xdr:colOff>
      <xdr:row>0</xdr:row>
      <xdr:rowOff>384301</xdr:rowOff>
    </xdr:to>
    <xdr:sp macro="[0]!ShowWorkPackage_Button" textlink="">
      <xdr:nvSpPr>
        <xdr:cNvPr id="3" name="Rectangle: Rounded Corners 2">
          <a:extLst>
            <a:ext uri="{FF2B5EF4-FFF2-40B4-BE49-F238E27FC236}">
              <a16:creationId xmlns:a16="http://schemas.microsoft.com/office/drawing/2014/main" id="{59E8D6BA-3E44-48AA-8ED0-5A5EA1389263}"/>
            </a:ext>
          </a:extLst>
        </xdr:cNvPr>
        <xdr:cNvSpPr/>
      </xdr:nvSpPr>
      <xdr:spPr>
        <a:xfrm>
          <a:off x="4067174" y="114301"/>
          <a:ext cx="540000" cy="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kern="1200"/>
            <a:t>VIEW</a:t>
          </a:r>
        </a:p>
      </xdr:txBody>
    </xdr:sp>
    <xdr:clientData/>
  </xdr:twoCellAnchor>
  <xdr:twoCellAnchor>
    <xdr:from>
      <xdr:col>3</xdr:col>
      <xdr:colOff>108491</xdr:colOff>
      <xdr:row>1</xdr:row>
      <xdr:rowOff>114299</xdr:rowOff>
    </xdr:from>
    <xdr:to>
      <xdr:col>3</xdr:col>
      <xdr:colOff>648491</xdr:colOff>
      <xdr:row>1</xdr:row>
      <xdr:rowOff>384299</xdr:rowOff>
    </xdr:to>
    <xdr:sp macro="[0]!FinalizeWorkPackage" textlink="">
      <xdr:nvSpPr>
        <xdr:cNvPr id="4" name="Rectangle: Rounded Corners 3">
          <a:extLst>
            <a:ext uri="{FF2B5EF4-FFF2-40B4-BE49-F238E27FC236}">
              <a16:creationId xmlns:a16="http://schemas.microsoft.com/office/drawing/2014/main" id="{8BE6957D-FD6D-4693-B7C8-636D87B2A457}"/>
            </a:ext>
          </a:extLst>
        </xdr:cNvPr>
        <xdr:cNvSpPr/>
      </xdr:nvSpPr>
      <xdr:spPr>
        <a:xfrm>
          <a:off x="4070891" y="619124"/>
          <a:ext cx="540000" cy="270000"/>
        </a:xfrm>
        <a:prstGeom prst="roundRect">
          <a:avLst/>
        </a:prstGeom>
        <a:solidFill>
          <a:srgbClr val="156082"/>
        </a:solidFill>
        <a:ln w="19050" cap="flat" cmpd="sng" algn="ctr">
          <a:solidFill>
            <a:srgbClr val="156082">
              <a:shade val="15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900" b="1" i="0" u="none" strike="noStrike" kern="1200" cap="none" spc="0" normalizeH="0" baseline="0" noProof="0">
              <a:ln>
                <a:noFill/>
              </a:ln>
              <a:solidFill>
                <a:sysClr val="window" lastClr="FFFFFF"/>
              </a:solidFill>
              <a:effectLst/>
              <a:uLnTx/>
              <a:uFillTx/>
              <a:latin typeface="Aptos Narrow" panose="02110004020202020204"/>
              <a:ea typeface="+mn-ea"/>
              <a:cs typeface="+mn-cs"/>
            </a:rPr>
            <a:t>CLOSE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95250</xdr:colOff>
      <xdr:row>0</xdr:row>
      <xdr:rowOff>123825</xdr:rowOff>
    </xdr:from>
    <xdr:to>
      <xdr:col>4</xdr:col>
      <xdr:colOff>725250</xdr:colOff>
      <xdr:row>0</xdr:row>
      <xdr:rowOff>393825</xdr:rowOff>
    </xdr:to>
    <xdr:sp macro="[0]!ApplyTaskExtensions" textlink="">
      <xdr:nvSpPr>
        <xdr:cNvPr id="3" name="Rectangle: Rounded Corners 2">
          <a:extLst>
            <a:ext uri="{FF2B5EF4-FFF2-40B4-BE49-F238E27FC236}">
              <a16:creationId xmlns:a16="http://schemas.microsoft.com/office/drawing/2014/main" id="{87C2C09D-7C00-4CA4-8ED1-F259F65B1AA8}"/>
            </a:ext>
          </a:extLst>
        </xdr:cNvPr>
        <xdr:cNvSpPr/>
      </xdr:nvSpPr>
      <xdr:spPr>
        <a:xfrm>
          <a:off x="3609975" y="123825"/>
          <a:ext cx="630000" cy="270000"/>
        </a:xfrm>
        <a:prstGeom prst="roundRect">
          <a:avLst/>
        </a:prstGeom>
        <a:solidFill>
          <a:srgbClr val="156082"/>
        </a:solidFill>
        <a:ln w="19050" cap="flat" cmpd="sng" algn="ctr">
          <a:solidFill>
            <a:srgbClr val="156082">
              <a:shade val="15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900" b="1" i="0" u="none" strike="noStrike" kern="1200" cap="none" spc="0" normalizeH="0" baseline="0" noProof="0">
              <a:ln>
                <a:noFill/>
              </a:ln>
              <a:solidFill>
                <a:sysClr val="window" lastClr="FFFFFF"/>
              </a:solidFill>
              <a:effectLst/>
              <a:uLnTx/>
              <a:uFillTx/>
              <a:latin typeface="Aptos Narrow" panose="02110004020202020204"/>
              <a:ea typeface="+mn-ea"/>
              <a:cs typeface="+mn-cs"/>
            </a:rPr>
            <a:t>EXTEND</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95250</xdr:colOff>
      <xdr:row>0</xdr:row>
      <xdr:rowOff>123825</xdr:rowOff>
    </xdr:from>
    <xdr:to>
      <xdr:col>4</xdr:col>
      <xdr:colOff>725250</xdr:colOff>
      <xdr:row>0</xdr:row>
      <xdr:rowOff>393825</xdr:rowOff>
    </xdr:to>
    <xdr:sp macro="[0]!ApplyDeferralExtensions" textlink="">
      <xdr:nvSpPr>
        <xdr:cNvPr id="2" name="Rectangle: Rounded Corners 1">
          <a:extLst>
            <a:ext uri="{FF2B5EF4-FFF2-40B4-BE49-F238E27FC236}">
              <a16:creationId xmlns:a16="http://schemas.microsoft.com/office/drawing/2014/main" id="{7D962CDA-B696-4FE8-B292-D5BF1439B6B4}"/>
            </a:ext>
          </a:extLst>
        </xdr:cNvPr>
        <xdr:cNvSpPr/>
      </xdr:nvSpPr>
      <xdr:spPr>
        <a:xfrm>
          <a:off x="3781425" y="123825"/>
          <a:ext cx="630000" cy="270000"/>
        </a:xfrm>
        <a:prstGeom prst="roundRect">
          <a:avLst/>
        </a:prstGeom>
        <a:solidFill>
          <a:srgbClr val="156082"/>
        </a:solidFill>
        <a:ln w="19050" cap="flat" cmpd="sng" algn="ctr">
          <a:solidFill>
            <a:srgbClr val="156082">
              <a:shade val="15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900" b="1" i="0" u="none" strike="noStrike" kern="1200" cap="none" spc="0" normalizeH="0" baseline="0" noProof="0">
              <a:ln>
                <a:noFill/>
              </a:ln>
              <a:solidFill>
                <a:sysClr val="window" lastClr="FFFFFF"/>
              </a:solidFill>
              <a:effectLst/>
              <a:uLnTx/>
              <a:uFillTx/>
              <a:latin typeface="Aptos Narrow" panose="02110004020202020204"/>
              <a:ea typeface="+mn-ea"/>
              <a:cs typeface="+mn-cs"/>
            </a:rPr>
            <a:t>EXTEND</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1C198C-6408-44B1-8D9A-87B64BA04F3A}" name="Table_Airframe_Usage" displayName="Table_Airframe_Usage" ref="A2:B25" totalsRowShown="0" headerRowDxfId="84" dataDxfId="83">
  <autoFilter ref="A2:B25" xr:uid="{041C198C-6408-44B1-8D9A-87B64BA04F3A}">
    <filterColumn colId="0" hiddenButton="1"/>
    <filterColumn colId="1" hiddenButton="1"/>
  </autoFilter>
  <tableColumns count="2">
    <tableColumn id="1" xr3:uid="{2168A384-73E3-45AB-8C91-690D0C6BA868}" name="Interval Type" dataDxfId="82"/>
    <tableColumn id="2" xr3:uid="{C6A27639-42E4-418E-9127-4FD05020FCEE}" name="Life Used" dataDxfId="8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D50FA88-35CD-4105-B516-72C74C80A2C9}" name="Table_Engines_Usage" displayName="Table_Engines_Usage" ref="D2:E37" totalsRowShown="0" headerRowDxfId="80" dataDxfId="79">
  <autoFilter ref="D2:E37" xr:uid="{8D50FA88-35CD-4105-B516-72C74C80A2C9}">
    <filterColumn colId="0" hiddenButton="1"/>
    <filterColumn colId="1" hiddenButton="1"/>
  </autoFilter>
  <tableColumns count="2">
    <tableColumn id="1" xr3:uid="{2DA9BC33-9172-49D1-BE58-F682432CD5FD}" name="Interval Type" dataDxfId="78"/>
    <tableColumn id="2" xr3:uid="{092C7484-835D-42E6-9EA7-19DC51B401F9}" name="Life Used" dataDxfId="7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808DAC-F2E9-494D-9907-CF4652C9318D}" name="Table_Init" displayName="Table_Init" ref="A3:Z139" totalsRowShown="0" headerRowDxfId="76" dataDxfId="74" headerRowBorderDxfId="75">
  <autoFilter ref="A3:Z139" xr:uid="{FA808DAC-F2E9-494D-9907-CF4652C9318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CAB2E75F-EDC1-40F5-A276-BD94973C2654}" name="Selector" dataDxfId="73"/>
    <tableColumn id="2" xr3:uid="{A52D88BF-C93A-4577-BC2C-5BF2F543917A}" name="In Work ORN" dataDxfId="72"/>
    <tableColumn id="3" xr3:uid="{7AA0535A-1BD4-453B-AB76-6EE09DC61442}" name="Last Completed ORN" dataDxfId="71"/>
    <tableColumn id="4" xr3:uid="{91563E00-A16D-4E58-BBDC-63172D3BA938}" name="Last Completed (Hours)" dataDxfId="70">
      <calculatedColumnFormula array="1">IF(I4="---","---",SumHH((I4,L4),(M4,P4)))</calculatedColumnFormula>
    </tableColumn>
    <tableColumn id="5" xr3:uid="{80528B73-B864-4E8A-A897-A5DB4C54FCD8}" name="Last Completed (Number)" dataDxfId="69">
      <calculatedColumnFormula>IF(J4&lt;&gt;"---",($J4+$L4)-($P4+$M4),"---")</calculatedColumnFormula>
    </tableColumn>
    <tableColumn id="6" xr3:uid="{0851C81F-45CC-4003-8E12-F5915D6F7CD0}" name="Last Completed (Date)" dataDxfId="68">
      <calculatedColumnFormula>IF(G4="DD",('Item Usage'!$D$101+L4)-(P4+M4),"---")</calculatedColumnFormula>
    </tableColumn>
    <tableColumn id="7" xr3:uid="{8703C1C2-A70F-470B-9931-F26B2D545B73}" name="Interval Type Code" dataDxfId="67"/>
    <tableColumn id="8" xr3:uid="{FE4D5F58-8F33-4775-AD6B-A5FDD3EFD508}" name="Interval Type" dataDxfId="66"/>
    <tableColumn id="9" xr3:uid="{47BA6CC6-FBC1-428C-9057-22FA23124B8A}" name="Current Usage (Hours)" dataDxfId="65">
      <calculatedColumnFormula>_xlfn.XLOOKUP(G4,'Item Usage'!$B$59:$B$65,'Item Usage'!$D$59:$D$65,"---",0,1)</calculatedColumnFormula>
    </tableColumn>
    <tableColumn id="10" xr3:uid="{31467D8C-CF6A-4A8E-8AF5-C67DF536CEF3}" name="Current Usage (Number)" dataDxfId="64">
      <calculatedColumnFormula>_xlfn.XLOOKUP(G4,'Item Usage'!$B$70:$B$100,'Item Usage'!$D$70:$D$100,"---",0,1)</calculatedColumnFormula>
    </tableColumn>
    <tableColumn id="11" xr3:uid="{0CE3BA00-51FA-44B6-8CC5-6C3025DD7024}" name="End Item Serial" dataDxfId="63"/>
    <tableColumn id="12" xr3:uid="{80D1BDF1-FA08-4D08-AC77-FF96BAD7750B}" name="Life Remaining" dataDxfId="62"/>
    <tableColumn id="13" xr3:uid="{3D5EAA9F-D183-4C8F-8B5E-8E34D4B063B7}" name="Extension" dataDxfId="61"/>
    <tableColumn id="14" xr3:uid="{15B4203C-EC97-448F-BBEE-E080FC305476}" name="Extension SNOW" dataDxfId="60"/>
    <tableColumn id="15" xr3:uid="{659ADA4C-D7BF-4DFB-ACC8-5F159D9EF8E0}" name="Task Type Code" dataDxfId="59"/>
    <tableColumn id="16" xr3:uid="{D81C3B07-D35B-41AE-A885-3E572A7D961D}" name="Actual Interval" dataDxfId="58"/>
    <tableColumn id="17" xr3:uid="{B3A2809D-E685-44AC-AD2C-CD5AFB2331A7}" name="Task Code" dataDxfId="57"/>
    <tableColumn id="18" xr3:uid="{E4E8BB57-34E0-4F9F-AA98-BB672FFBAF14}" name="Task Sequence" dataDxfId="56"/>
    <tableColumn id="19" xr3:uid="{7A443F86-CAB4-4ECE-8E39-C7991B476280}" name="Procedure" dataDxfId="55"/>
    <tableColumn id="20" xr3:uid="{328DD962-7539-4A8A-92DE-D470F169CD7D}" name="Task Description" dataDxfId="54"/>
    <tableColumn id="21" xr3:uid="{3B41934F-33A1-4FE9-A4D0-39D51C050694}" name="Serial" dataDxfId="53"/>
    <tableColumn id="22" xr3:uid="{51B174D5-6427-4B04-9FDA-039F711140EA}" name="Part" dataDxfId="52"/>
    <tableColumn id="23" xr3:uid="{20B52AB3-D4C3-4E84-8D69-2FB965C6C4D6}" name="Task Short Description" dataDxfId="51"/>
    <tableColumn id="24" xr3:uid="{2003ED62-0073-41AE-B132-758E5091EF91}" name="CAGE" dataDxfId="50"/>
    <tableColumn id="25" xr3:uid="{BB02CA89-02EC-4DAA-ABF2-55EF1215B966}" name="Category Of Instrument Code" dataDxfId="49"/>
    <tableColumn id="26" xr3:uid="{442C21D9-48B5-4436-BACB-3CB3F7FDBACD}" name="Warning Interval" dataDxfId="48"/>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04748-E544-4C41-9DE0-9F9309F5259D}" name="Table_SITS" displayName="Table_SITS" ref="A3:AB138" totalsRowShown="0" headerRowDxfId="47" dataDxfId="45" headerRowBorderDxfId="46">
  <autoFilter ref="A3:AB138" xr:uid="{62D4AFC9-F886-4061-8954-B56AECE0CF3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sortState xmlns:xlrd2="http://schemas.microsoft.com/office/spreadsheetml/2017/richdata2" ref="A4:AB138">
    <sortCondition ref="G4" customList="E1,E2,HH,DD"/>
    <sortCondition ref="L4"/>
    <sortCondition ref="N4"/>
  </sortState>
  <tableColumns count="28">
    <tableColumn id="1" xr3:uid="{FFB8D08E-F04D-44DE-847D-BE62023478A9}" name="Selector" dataDxfId="44"/>
    <tableColumn id="2" xr3:uid="{98112B54-19B8-4AAD-91FA-C18A2FD7E85A}" name="In Work ORN" dataDxfId="43"/>
    <tableColumn id="3" xr3:uid="{D7BF1A6F-3DFF-4AA2-9F99-248D4719F7A1}" name="Last Completed ORN" dataDxfId="42"/>
    <tableColumn id="4" xr3:uid="{56186FF4-3B92-45C1-B06E-46BBF4F01828}" name="Last Completed (Hours)" dataDxfId="41"/>
    <tableColumn id="5" xr3:uid="{3A8410E9-2C01-45D7-A54E-81D57A30EAC9}" name="Last Completed (Number)" dataDxfId="40"/>
    <tableColumn id="6" xr3:uid="{0B7F99F0-E657-487E-846D-01A2A51C4CBB}" name="Last Completed (Date)" dataDxfId="39"/>
    <tableColumn id="7" xr3:uid="{3C589158-B27A-4449-8D33-8EDEE1B97CC1}" name="Interval Type Code" dataDxfId="38"/>
    <tableColumn id="8" xr3:uid="{5BCB106D-DD54-4A30-934A-CCA174CB8F44}" name="Interval Type" dataDxfId="37"/>
    <tableColumn id="9" xr3:uid="{5F96D101-2EC3-4966-B674-CBB1FB7488A6}" name="Current Usage (Hours)" dataDxfId="36">
      <calculatedColumnFormula>_xlfn.XLOOKUP(G4,'Item Usage'!$B$59:$B$65,'Item Usage'!$D$59:$D$65,"---",0,1)</calculatedColumnFormula>
    </tableColumn>
    <tableColumn id="10" xr3:uid="{46F64E82-2179-4981-87E9-6C71413441FF}" name="Current Usage (Number)" dataDxfId="35">
      <calculatedColumnFormula>_xlfn.XLOOKUP(G4,'Item Usage'!$B$70:$B$100,'Item Usage'!$D$70:$D$100,"---",0,1)</calculatedColumnFormula>
    </tableColumn>
    <tableColumn id="11" xr3:uid="{94C92862-8169-4D50-8A92-6FF7019C0ECD}" name="End Item Serial" dataDxfId="34"/>
    <tableColumn id="12" xr3:uid="{90240A87-C28C-45E8-9E04-FA459E120B47}" name="Life Remaining (Hours)" dataDxfId="33">
      <calculatedColumnFormula array="1">IF(D4="---","---", SumHH((D4,O4,R4), I4))</calculatedColumnFormula>
    </tableColumn>
    <tableColumn id="13" xr3:uid="{0050DFD0-2B7A-4707-9E46-FCAAD2C4CA60}" name="Life Remaining (Number)" dataDxfId="32">
      <calculatedColumnFormula>IF($E4="---","---",($E4+$O4+$R4)-$J4)</calculatedColumnFormula>
    </tableColumn>
    <tableColumn id="14" xr3:uid="{5267E41E-2FBD-4416-BBEB-E2CFD28023B0}" name="Days When Due" dataDxfId="31">
      <calculatedColumnFormula>IF($F4="---","---",($F4+$O4+$R4))</calculatedColumnFormula>
    </tableColumn>
    <tableColumn id="15" xr3:uid="{9FBB1CA3-EC1D-44CC-B4BE-009B6702A921}" name="Extension" dataDxfId="30"/>
    <tableColumn id="16" xr3:uid="{3DE3160A-133F-4ABC-B6FA-18AA4C52E6EE}" name="Extension SNOW" dataDxfId="29"/>
    <tableColumn id="17" xr3:uid="{95B76EC8-89AC-44FE-87CA-DBFA82CDF90B}" name="Task Type Code" dataDxfId="28"/>
    <tableColumn id="18" xr3:uid="{CCD1196A-44BB-4EF5-AB7A-D8F16AA91D6B}" name="Actual Interval" dataDxfId="27"/>
    <tableColumn id="19" xr3:uid="{84E6C30B-BC00-443F-B507-8DF60A5A06D4}" name="Task Code" dataDxfId="26"/>
    <tableColumn id="20" xr3:uid="{4BF8A0E1-A559-4E1F-84E3-95982F52EE00}" name="Task Sequence" dataDxfId="25"/>
    <tableColumn id="21" xr3:uid="{1B4B851C-1F8F-4C14-8276-7085BF63D6B0}" name="Procedure" dataDxfId="24"/>
    <tableColumn id="22" xr3:uid="{EA520F28-3DE7-411B-A398-66424B852A40}" name="Task Description" dataDxfId="23"/>
    <tableColumn id="23" xr3:uid="{5AC850CB-49A1-433A-BFF6-7CC4DFE77F3A}" name="Serial" dataDxfId="22"/>
    <tableColumn id="24" xr3:uid="{9C73B9E8-0AB8-473C-A599-9A103C0FD070}" name="Part" dataDxfId="21"/>
    <tableColumn id="25" xr3:uid="{BA75AAB4-2E1B-450A-A7DF-D0710DE142A8}" name="Task Short Description" dataDxfId="20"/>
    <tableColumn id="26" xr3:uid="{74E30C9C-A57B-4DE1-B4D5-16FE68539640}" name="CAGE" dataDxfId="19"/>
    <tableColumn id="27" xr3:uid="{4261F9EC-82FA-4A70-BC22-18DC419FAD8A}" name="Category Of Instrument Code" dataDxfId="18"/>
    <tableColumn id="28" xr3:uid="{F3F4906E-8FE3-4C96-A80C-E016449A79C1}" name="Warning Interval" dataDxfId="1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15F1E38-E371-4106-9684-52C6D7A6B26D}" name="Table_Usage" displayName="Table_Usage" ref="A1:B40" totalsRowShown="0" headerRowDxfId="16">
  <autoFilter ref="A1:B40" xr:uid="{E15F1E38-E371-4106-9684-52C6D7A6B26D}">
    <filterColumn colId="0" hiddenButton="1"/>
    <filterColumn colId="1" hiddenButton="1"/>
  </autoFilter>
  <tableColumns count="2">
    <tableColumn id="1" xr3:uid="{348A1D40-C3D5-4C10-A0B9-208D619F9AD6}" name="Interval Type Code" dataDxfId="15"/>
    <tableColumn id="2" xr3:uid="{7B09F5F1-3200-43D4-B889-D7EE5DAE1F57}" name="Usage" dataDxfId="14">
      <calculatedColumnFormula>'Item Usage'!D27</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050" b="1" kern="12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42901-C686-4000-BBA8-9A5B7743AC26}">
  <sheetPr codeName="Sheet15">
    <tabColor rgb="FFFF0000"/>
  </sheetPr>
  <dimension ref="A1:G37"/>
  <sheetViews>
    <sheetView workbookViewId="0">
      <selection activeCell="E16" sqref="E16"/>
    </sheetView>
  </sheetViews>
  <sheetFormatPr defaultRowHeight="15" x14ac:dyDescent="0.25"/>
  <cols>
    <col min="1" max="1" width="14.140625" customWidth="1"/>
    <col min="2" max="3" width="12.42578125" customWidth="1"/>
    <col min="4" max="4" width="14.140625" customWidth="1"/>
    <col min="5" max="5" width="12.42578125" customWidth="1"/>
  </cols>
  <sheetData>
    <row r="1" spans="1:7" x14ac:dyDescent="0.25">
      <c r="A1" t="s">
        <v>363</v>
      </c>
      <c r="D1" t="s">
        <v>362</v>
      </c>
      <c r="G1" t="s">
        <v>366</v>
      </c>
    </row>
    <row r="2" spans="1:7" x14ac:dyDescent="0.25">
      <c r="A2" s="4" t="s">
        <v>85</v>
      </c>
      <c r="B2" s="4" t="s">
        <v>369</v>
      </c>
      <c r="C2" s="4"/>
      <c r="D2" s="4" t="s">
        <v>85</v>
      </c>
      <c r="E2" s="4" t="s">
        <v>369</v>
      </c>
      <c r="G2" t="s">
        <v>365</v>
      </c>
    </row>
    <row r="3" spans="1:7" x14ac:dyDescent="0.25">
      <c r="A3" t="s">
        <v>18</v>
      </c>
      <c r="B3" t="s">
        <v>474</v>
      </c>
      <c r="C3" s="4"/>
      <c r="D3" t="s">
        <v>55</v>
      </c>
      <c r="E3" t="s">
        <v>467</v>
      </c>
      <c r="G3" t="s">
        <v>364</v>
      </c>
    </row>
    <row r="4" spans="1:7" x14ac:dyDescent="0.25">
      <c r="A4" t="s">
        <v>11</v>
      </c>
      <c r="B4" t="s">
        <v>100</v>
      </c>
      <c r="C4" s="4"/>
      <c r="D4" t="s">
        <v>53</v>
      </c>
      <c r="E4" t="s">
        <v>244</v>
      </c>
      <c r="G4" t="s">
        <v>368</v>
      </c>
    </row>
    <row r="5" spans="1:7" x14ac:dyDescent="0.25">
      <c r="A5" t="s">
        <v>34</v>
      </c>
      <c r="B5" t="s">
        <v>477</v>
      </c>
      <c r="C5" s="4"/>
      <c r="D5" t="s">
        <v>47</v>
      </c>
      <c r="E5" t="s">
        <v>468</v>
      </c>
    </row>
    <row r="6" spans="1:7" x14ac:dyDescent="0.25">
      <c r="A6" t="s">
        <v>36</v>
      </c>
      <c r="B6" t="s">
        <v>478</v>
      </c>
      <c r="C6" s="4"/>
      <c r="D6" t="s">
        <v>49</v>
      </c>
      <c r="E6" t="s">
        <v>469</v>
      </c>
      <c r="G6" t="s">
        <v>373</v>
      </c>
    </row>
    <row r="7" spans="1:7" x14ac:dyDescent="0.25">
      <c r="A7" t="s">
        <v>20</v>
      </c>
      <c r="B7" t="s">
        <v>479</v>
      </c>
      <c r="C7" s="4"/>
      <c r="D7" t="s">
        <v>64</v>
      </c>
      <c r="E7" t="s">
        <v>244</v>
      </c>
      <c r="G7" t="s">
        <v>371</v>
      </c>
    </row>
    <row r="8" spans="1:7" x14ac:dyDescent="0.25">
      <c r="A8" t="s">
        <v>22</v>
      </c>
      <c r="B8" t="s">
        <v>480</v>
      </c>
      <c r="C8" s="4"/>
      <c r="D8" t="s">
        <v>62</v>
      </c>
      <c r="E8" t="s">
        <v>244</v>
      </c>
      <c r="G8" t="s">
        <v>370</v>
      </c>
    </row>
    <row r="9" spans="1:7" x14ac:dyDescent="0.25">
      <c r="A9" t="s">
        <v>38</v>
      </c>
      <c r="B9" t="s">
        <v>481</v>
      </c>
      <c r="C9" s="4"/>
      <c r="D9" t="s">
        <v>58</v>
      </c>
      <c r="E9" t="s">
        <v>470</v>
      </c>
    </row>
    <row r="10" spans="1:7" x14ac:dyDescent="0.25">
      <c r="A10" t="s">
        <v>75</v>
      </c>
      <c r="B10" t="s">
        <v>244</v>
      </c>
      <c r="C10" s="4"/>
      <c r="D10" t="s">
        <v>59</v>
      </c>
      <c r="E10" t="s">
        <v>471</v>
      </c>
      <c r="G10" s="68" t="s">
        <v>374</v>
      </c>
    </row>
    <row r="11" spans="1:7" x14ac:dyDescent="0.25">
      <c r="A11" t="s">
        <v>30</v>
      </c>
      <c r="B11" t="s">
        <v>483</v>
      </c>
      <c r="C11" s="4"/>
      <c r="D11" t="s">
        <v>51</v>
      </c>
      <c r="E11" t="s">
        <v>472</v>
      </c>
    </row>
    <row r="12" spans="1:7" x14ac:dyDescent="0.25">
      <c r="A12" t="s">
        <v>71</v>
      </c>
      <c r="B12" t="s">
        <v>488</v>
      </c>
      <c r="C12" s="4"/>
      <c r="D12" t="s">
        <v>60</v>
      </c>
      <c r="E12" t="s">
        <v>473</v>
      </c>
    </row>
    <row r="13" spans="1:7" x14ac:dyDescent="0.25">
      <c r="A13" t="s">
        <v>67</v>
      </c>
      <c r="B13" t="s">
        <v>367</v>
      </c>
      <c r="C13" s="4"/>
      <c r="D13" t="s">
        <v>18</v>
      </c>
      <c r="E13" t="s">
        <v>474</v>
      </c>
      <c r="G13" s="40" t="s">
        <v>376</v>
      </c>
    </row>
    <row r="14" spans="1:7" x14ac:dyDescent="0.25">
      <c r="A14" t="s">
        <v>14</v>
      </c>
      <c r="B14" t="s">
        <v>484</v>
      </c>
      <c r="C14" s="4"/>
      <c r="D14" t="s">
        <v>11</v>
      </c>
      <c r="E14" t="s">
        <v>100</v>
      </c>
      <c r="G14" s="105" t="s">
        <v>492</v>
      </c>
    </row>
    <row r="15" spans="1:7" x14ac:dyDescent="0.25">
      <c r="A15" t="s">
        <v>73</v>
      </c>
      <c r="B15" t="s">
        <v>489</v>
      </c>
      <c r="C15" s="4"/>
      <c r="D15" t="s">
        <v>43</v>
      </c>
      <c r="E15" t="s">
        <v>475</v>
      </c>
      <c r="G15" s="40" t="s">
        <v>375</v>
      </c>
    </row>
    <row r="16" spans="1:7" x14ac:dyDescent="0.25">
      <c r="A16" t="s">
        <v>8</v>
      </c>
      <c r="B16" t="s">
        <v>490</v>
      </c>
      <c r="C16" s="4"/>
      <c r="D16" t="s">
        <v>56</v>
      </c>
      <c r="E16" t="s">
        <v>476</v>
      </c>
      <c r="G16" s="104">
        <v>83.357638888888886</v>
      </c>
    </row>
    <row r="17" spans="1:5" x14ac:dyDescent="0.25">
      <c r="A17" t="s">
        <v>40</v>
      </c>
      <c r="B17" t="s">
        <v>319</v>
      </c>
      <c r="C17" s="4"/>
      <c r="D17" t="s">
        <v>34</v>
      </c>
      <c r="E17" t="s">
        <v>477</v>
      </c>
    </row>
    <row r="18" spans="1:5" x14ac:dyDescent="0.25">
      <c r="A18" t="s">
        <v>42</v>
      </c>
      <c r="B18" t="s">
        <v>319</v>
      </c>
      <c r="C18" s="4"/>
      <c r="D18" t="s">
        <v>36</v>
      </c>
      <c r="E18" t="s">
        <v>478</v>
      </c>
    </row>
    <row r="19" spans="1:5" x14ac:dyDescent="0.25">
      <c r="A19" t="s">
        <v>65</v>
      </c>
      <c r="B19" t="s">
        <v>491</v>
      </c>
      <c r="C19" s="4"/>
      <c r="D19" t="s">
        <v>20</v>
      </c>
      <c r="E19" t="s">
        <v>479</v>
      </c>
    </row>
    <row r="20" spans="1:5" x14ac:dyDescent="0.25">
      <c r="A20" t="s">
        <v>24</v>
      </c>
      <c r="B20" t="s">
        <v>485</v>
      </c>
      <c r="C20" s="4"/>
      <c r="D20" t="s">
        <v>22</v>
      </c>
      <c r="E20" t="s">
        <v>480</v>
      </c>
    </row>
    <row r="21" spans="1:5" x14ac:dyDescent="0.25">
      <c r="A21" t="s">
        <v>69</v>
      </c>
      <c r="B21" t="s">
        <v>244</v>
      </c>
      <c r="C21" s="4"/>
      <c r="D21" t="s">
        <v>38</v>
      </c>
      <c r="E21" t="s">
        <v>481</v>
      </c>
    </row>
    <row r="22" spans="1:5" x14ac:dyDescent="0.25">
      <c r="A22" t="s">
        <v>32</v>
      </c>
      <c r="B22" t="s">
        <v>486</v>
      </c>
      <c r="C22" s="4"/>
      <c r="D22" t="s">
        <v>28</v>
      </c>
      <c r="E22" t="s">
        <v>482</v>
      </c>
    </row>
    <row r="23" spans="1:5" x14ac:dyDescent="0.25">
      <c r="A23" t="s">
        <v>77</v>
      </c>
      <c r="B23" t="s">
        <v>244</v>
      </c>
      <c r="C23" s="4"/>
      <c r="D23" t="s">
        <v>30</v>
      </c>
      <c r="E23" t="s">
        <v>483</v>
      </c>
    </row>
    <row r="24" spans="1:5" x14ac:dyDescent="0.25">
      <c r="A24" t="s">
        <v>26</v>
      </c>
      <c r="B24" t="s">
        <v>244</v>
      </c>
      <c r="C24" s="4"/>
      <c r="D24" t="s">
        <v>14</v>
      </c>
      <c r="E24" t="s">
        <v>484</v>
      </c>
    </row>
    <row r="25" spans="1:5" x14ac:dyDescent="0.25">
      <c r="A25" t="s">
        <v>16</v>
      </c>
      <c r="B25" t="s">
        <v>487</v>
      </c>
      <c r="C25" s="4"/>
      <c r="D25" t="s">
        <v>40</v>
      </c>
      <c r="E25" t="s">
        <v>319</v>
      </c>
    </row>
    <row r="26" spans="1:5" x14ac:dyDescent="0.25">
      <c r="D26" t="s">
        <v>40</v>
      </c>
      <c r="E26" t="s">
        <v>244</v>
      </c>
    </row>
    <row r="27" spans="1:5" x14ac:dyDescent="0.25">
      <c r="D27" t="s">
        <v>40</v>
      </c>
      <c r="E27" t="s">
        <v>244</v>
      </c>
    </row>
    <row r="28" spans="1:5" x14ac:dyDescent="0.25">
      <c r="D28" t="s">
        <v>40</v>
      </c>
      <c r="E28" t="s">
        <v>244</v>
      </c>
    </row>
    <row r="29" spans="1:5" x14ac:dyDescent="0.25">
      <c r="D29" t="s">
        <v>40</v>
      </c>
      <c r="E29" t="s">
        <v>244</v>
      </c>
    </row>
    <row r="30" spans="1:5" x14ac:dyDescent="0.25">
      <c r="D30" t="s">
        <v>42</v>
      </c>
      <c r="E30" t="s">
        <v>319</v>
      </c>
    </row>
    <row r="31" spans="1:5" x14ac:dyDescent="0.25">
      <c r="D31" t="s">
        <v>42</v>
      </c>
      <c r="E31" t="s">
        <v>244</v>
      </c>
    </row>
    <row r="32" spans="1:5" x14ac:dyDescent="0.25">
      <c r="D32" t="s">
        <v>42</v>
      </c>
      <c r="E32" t="s">
        <v>244</v>
      </c>
    </row>
    <row r="33" spans="4:5" x14ac:dyDescent="0.25">
      <c r="D33" t="s">
        <v>42</v>
      </c>
      <c r="E33" t="s">
        <v>244</v>
      </c>
    </row>
    <row r="34" spans="4:5" x14ac:dyDescent="0.25">
      <c r="D34" t="s">
        <v>42</v>
      </c>
      <c r="E34" t="s">
        <v>244</v>
      </c>
    </row>
    <row r="35" spans="4:5" x14ac:dyDescent="0.25">
      <c r="D35" t="s">
        <v>24</v>
      </c>
      <c r="E35" t="s">
        <v>485</v>
      </c>
    </row>
    <row r="36" spans="4:5" x14ac:dyDescent="0.25">
      <c r="D36" t="s">
        <v>32</v>
      </c>
      <c r="E36" t="s">
        <v>486</v>
      </c>
    </row>
    <row r="37" spans="4:5" x14ac:dyDescent="0.25">
      <c r="D37" t="s">
        <v>16</v>
      </c>
      <c r="E37" t="s">
        <v>487</v>
      </c>
    </row>
  </sheetData>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B7C11-77A7-4BE3-8AD3-5C8B7BF180B7}">
  <sheetPr codeName="Sheet1">
    <tabColor rgb="FF92D050"/>
  </sheetPr>
  <dimension ref="A1:BI101"/>
  <sheetViews>
    <sheetView zoomScale="75" zoomScaleNormal="75" workbookViewId="0">
      <pane xSplit="5" ySplit="3" topLeftCell="F4" activePane="bottomRight" state="frozen"/>
      <selection activeCell="B1" sqref="B1"/>
      <selection pane="topRight" activeCell="B1" sqref="B1"/>
      <selection pane="bottomLeft" activeCell="B1" sqref="B1"/>
      <selection pane="bottomRight" activeCell="N4" sqref="N4:N32"/>
    </sheetView>
  </sheetViews>
  <sheetFormatPr defaultRowHeight="15" x14ac:dyDescent="0.25"/>
  <cols>
    <col min="1" max="1" width="17.85546875" customWidth="1"/>
    <col min="3" max="3" width="27.140625" bestFit="1" customWidth="1"/>
    <col min="4" max="4" width="14.42578125" customWidth="1"/>
    <col min="5" max="5" width="13.42578125" customWidth="1"/>
    <col min="6" max="6" width="9.7109375" bestFit="1" customWidth="1"/>
    <col min="7" max="16384" width="9.140625" style="66"/>
  </cols>
  <sheetData>
    <row r="1" spans="1:61" s="4" customFormat="1" ht="92.25" customHeight="1" x14ac:dyDescent="0.25">
      <c r="A1" s="55" t="s">
        <v>347</v>
      </c>
      <c r="B1" s="124" t="s">
        <v>492</v>
      </c>
      <c r="C1" s="124"/>
      <c r="G1" s="66" t="s">
        <v>0</v>
      </c>
      <c r="H1" s="66" t="s">
        <v>0</v>
      </c>
      <c r="I1" s="66" t="s">
        <v>0</v>
      </c>
      <c r="J1" s="66" t="s">
        <v>0</v>
      </c>
      <c r="K1" s="66" t="s">
        <v>0</v>
      </c>
      <c r="L1" s="66" t="s">
        <v>0</v>
      </c>
      <c r="M1" s="66" t="s">
        <v>0</v>
      </c>
      <c r="N1" s="66" t="s">
        <v>0</v>
      </c>
      <c r="O1" s="66" t="s">
        <v>0</v>
      </c>
      <c r="P1" s="66" t="s">
        <v>0</v>
      </c>
      <c r="Q1" s="66" t="s">
        <v>0</v>
      </c>
      <c r="R1" s="66" t="s">
        <v>0</v>
      </c>
      <c r="S1" s="66" t="s">
        <v>0</v>
      </c>
      <c r="T1" s="66" t="s">
        <v>0</v>
      </c>
      <c r="U1" s="66" t="s">
        <v>0</v>
      </c>
      <c r="V1" s="66" t="s">
        <v>0</v>
      </c>
      <c r="W1" s="66" t="s">
        <v>0</v>
      </c>
      <c r="X1" s="66" t="s">
        <v>0</v>
      </c>
      <c r="Y1" s="66" t="s">
        <v>0</v>
      </c>
      <c r="Z1" s="66" t="s">
        <v>0</v>
      </c>
      <c r="AA1" s="66" t="s">
        <v>0</v>
      </c>
      <c r="AB1" s="66" t="s">
        <v>0</v>
      </c>
      <c r="AC1" s="66" t="s">
        <v>0</v>
      </c>
      <c r="AD1" s="66" t="s">
        <v>0</v>
      </c>
      <c r="AE1" s="66" t="s">
        <v>0</v>
      </c>
      <c r="AF1" s="66" t="s">
        <v>0</v>
      </c>
      <c r="AG1" s="66" t="s">
        <v>0</v>
      </c>
      <c r="AH1" s="66" t="s">
        <v>0</v>
      </c>
      <c r="AI1" s="66" t="s">
        <v>0</v>
      </c>
      <c r="AJ1" s="66" t="s">
        <v>0</v>
      </c>
      <c r="AK1" s="66" t="s">
        <v>0</v>
      </c>
      <c r="AL1" s="66" t="s">
        <v>0</v>
      </c>
      <c r="AM1" s="66" t="s">
        <v>0</v>
      </c>
      <c r="AN1" s="66" t="s">
        <v>0</v>
      </c>
      <c r="AO1" s="66" t="s">
        <v>0</v>
      </c>
      <c r="AP1" s="66" t="s">
        <v>0</v>
      </c>
      <c r="AQ1" s="66" t="s">
        <v>0</v>
      </c>
      <c r="AR1" s="66" t="s">
        <v>0</v>
      </c>
      <c r="AS1" s="66" t="s">
        <v>0</v>
      </c>
      <c r="AT1" s="66" t="s">
        <v>0</v>
      </c>
      <c r="AU1" s="66" t="s">
        <v>0</v>
      </c>
      <c r="AV1" s="66" t="s">
        <v>0</v>
      </c>
      <c r="AW1" s="66" t="s">
        <v>0</v>
      </c>
      <c r="AX1" s="66" t="s">
        <v>0</v>
      </c>
      <c r="AY1" s="66" t="s">
        <v>0</v>
      </c>
      <c r="AZ1" s="66" t="s">
        <v>0</v>
      </c>
      <c r="BA1" s="66" t="s">
        <v>0</v>
      </c>
      <c r="BB1" s="66" t="s">
        <v>0</v>
      </c>
      <c r="BC1" s="66" t="s">
        <v>0</v>
      </c>
      <c r="BD1" s="66" t="s">
        <v>0</v>
      </c>
      <c r="BE1" s="66" t="s">
        <v>0</v>
      </c>
      <c r="BF1" s="66" t="s">
        <v>0</v>
      </c>
      <c r="BG1" s="66" t="s">
        <v>0</v>
      </c>
      <c r="BH1" s="66" t="s">
        <v>0</v>
      </c>
      <c r="BI1" s="66" t="s">
        <v>0</v>
      </c>
    </row>
    <row r="2" spans="1:61" s="4" customFormat="1" x14ac:dyDescent="0.25">
      <c r="A2" s="68"/>
      <c r="B2"/>
      <c r="C2"/>
      <c r="D2"/>
      <c r="E2"/>
      <c r="F2"/>
      <c r="G2" s="114">
        <v>1344</v>
      </c>
      <c r="H2" s="114">
        <v>1345</v>
      </c>
      <c r="I2" s="114">
        <v>1346</v>
      </c>
      <c r="J2" s="114">
        <v>1347</v>
      </c>
      <c r="K2" s="114">
        <v>1348</v>
      </c>
      <c r="L2" s="114">
        <v>1349</v>
      </c>
      <c r="M2" s="114">
        <v>1350</v>
      </c>
      <c r="N2" s="114">
        <v>1351</v>
      </c>
      <c r="O2" s="114"/>
      <c r="P2" s="114"/>
      <c r="Q2" s="114"/>
      <c r="R2" s="114"/>
      <c r="S2" s="114"/>
      <c r="T2" s="114"/>
      <c r="U2" s="114"/>
      <c r="V2" s="114"/>
      <c r="W2" s="114"/>
      <c r="X2" s="114"/>
      <c r="Y2" s="114"/>
      <c r="Z2" s="114"/>
      <c r="AA2" s="114"/>
      <c r="AB2" s="114"/>
      <c r="AC2" s="114"/>
      <c r="AD2" s="114"/>
      <c r="AE2" s="114"/>
      <c r="AF2" s="114"/>
      <c r="AG2" s="114"/>
      <c r="AH2" s="114"/>
      <c r="AI2" s="114"/>
      <c r="AJ2" s="114"/>
      <c r="AK2" s="114"/>
      <c r="AL2" s="114"/>
      <c r="AM2" s="114"/>
      <c r="AN2" s="114"/>
      <c r="AO2" s="114"/>
      <c r="AP2" s="114"/>
      <c r="AQ2" s="114"/>
      <c r="AR2" s="114"/>
      <c r="AS2" s="114"/>
      <c r="AT2" s="114"/>
      <c r="AU2" s="114"/>
      <c r="AV2" s="114"/>
      <c r="AW2" s="114"/>
      <c r="AX2" s="114"/>
      <c r="AY2" s="114"/>
      <c r="AZ2" s="114"/>
      <c r="BA2" s="114"/>
      <c r="BB2" s="114"/>
      <c r="BC2" s="114"/>
      <c r="BD2" s="114"/>
      <c r="BE2" s="114"/>
      <c r="BF2" s="114"/>
      <c r="BG2" s="114"/>
      <c r="BH2" s="114"/>
      <c r="BI2" s="114"/>
    </row>
    <row r="3" spans="1:61" customFormat="1" x14ac:dyDescent="0.25">
      <c r="A3" s="9" t="s">
        <v>1</v>
      </c>
      <c r="B3" s="9" t="s">
        <v>2</v>
      </c>
      <c r="C3" s="9" t="s">
        <v>3</v>
      </c>
      <c r="D3" s="10" t="s">
        <v>4</v>
      </c>
      <c r="E3" s="9" t="s">
        <v>5</v>
      </c>
      <c r="F3" s="10" t="s">
        <v>6</v>
      </c>
      <c r="G3" s="108" t="s">
        <v>7</v>
      </c>
      <c r="H3" s="108" t="s">
        <v>7</v>
      </c>
      <c r="I3" s="108" t="s">
        <v>7</v>
      </c>
      <c r="J3" s="108" t="s">
        <v>7</v>
      </c>
      <c r="K3" s="108" t="s">
        <v>7</v>
      </c>
      <c r="L3" s="108" t="s">
        <v>7</v>
      </c>
      <c r="M3" s="108" t="s">
        <v>7</v>
      </c>
      <c r="N3" s="108" t="s">
        <v>7</v>
      </c>
      <c r="O3" s="108" t="s">
        <v>7</v>
      </c>
      <c r="P3" s="108" t="s">
        <v>7</v>
      </c>
      <c r="Q3" s="108" t="s">
        <v>7</v>
      </c>
      <c r="R3" s="108" t="s">
        <v>7</v>
      </c>
      <c r="S3" s="108" t="s">
        <v>7</v>
      </c>
      <c r="T3" s="108" t="s">
        <v>7</v>
      </c>
      <c r="U3" s="108" t="s">
        <v>7</v>
      </c>
      <c r="V3" s="108" t="s">
        <v>7</v>
      </c>
      <c r="W3" s="108" t="s">
        <v>7</v>
      </c>
      <c r="X3" s="108" t="s">
        <v>7</v>
      </c>
      <c r="Y3" s="108" t="s">
        <v>7</v>
      </c>
      <c r="Z3" s="108" t="s">
        <v>7</v>
      </c>
      <c r="AA3" s="108" t="s">
        <v>7</v>
      </c>
      <c r="AB3" s="108" t="s">
        <v>7</v>
      </c>
      <c r="AC3" s="108" t="s">
        <v>7</v>
      </c>
      <c r="AD3" s="108" t="s">
        <v>7</v>
      </c>
      <c r="AE3" s="108" t="s">
        <v>7</v>
      </c>
      <c r="AF3" s="108" t="s">
        <v>7</v>
      </c>
      <c r="AG3" s="108" t="s">
        <v>7</v>
      </c>
      <c r="AH3" s="108" t="s">
        <v>7</v>
      </c>
      <c r="AI3" s="108" t="s">
        <v>7</v>
      </c>
      <c r="AJ3" s="108" t="s">
        <v>7</v>
      </c>
      <c r="AK3" s="108" t="s">
        <v>7</v>
      </c>
      <c r="AL3" s="108" t="s">
        <v>7</v>
      </c>
      <c r="AM3" s="108" t="s">
        <v>7</v>
      </c>
      <c r="AN3" s="108" t="s">
        <v>7</v>
      </c>
      <c r="AO3" s="108" t="s">
        <v>7</v>
      </c>
      <c r="AP3" s="108" t="s">
        <v>7</v>
      </c>
      <c r="AQ3" s="108" t="s">
        <v>7</v>
      </c>
      <c r="AR3" s="108" t="s">
        <v>7</v>
      </c>
      <c r="AS3" s="108" t="s">
        <v>7</v>
      </c>
      <c r="AT3" s="108" t="s">
        <v>7</v>
      </c>
      <c r="AU3" s="108" t="s">
        <v>7</v>
      </c>
      <c r="AV3" s="108" t="s">
        <v>7</v>
      </c>
      <c r="AW3" s="108" t="s">
        <v>7</v>
      </c>
      <c r="AX3" s="108" t="s">
        <v>7</v>
      </c>
      <c r="AY3" s="108" t="s">
        <v>7</v>
      </c>
      <c r="AZ3" s="108" t="s">
        <v>7</v>
      </c>
      <c r="BA3" s="108" t="s">
        <v>7</v>
      </c>
      <c r="BB3" s="108" t="s">
        <v>7</v>
      </c>
      <c r="BC3" s="108" t="s">
        <v>7</v>
      </c>
      <c r="BD3" s="108" t="s">
        <v>7</v>
      </c>
      <c r="BE3" s="108" t="s">
        <v>7</v>
      </c>
      <c r="BF3" s="108" t="s">
        <v>7</v>
      </c>
      <c r="BG3" s="108" t="s">
        <v>7</v>
      </c>
      <c r="BH3" s="108" t="s">
        <v>7</v>
      </c>
      <c r="BI3" s="108" t="s">
        <v>7</v>
      </c>
    </row>
    <row r="4" spans="1:61" s="4" customFormat="1" x14ac:dyDescent="0.25">
      <c r="A4" s="103"/>
      <c r="B4" s="8" t="s">
        <v>8</v>
      </c>
      <c r="C4" s="8" t="s">
        <v>9</v>
      </c>
      <c r="D4" s="12">
        <f>SUM(F4:BI4)</f>
        <v>720</v>
      </c>
      <c r="E4" s="11" t="s">
        <v>10</v>
      </c>
      <c r="F4" s="6">
        <v>715</v>
      </c>
      <c r="G4" s="109">
        <v>1</v>
      </c>
      <c r="H4" s="110"/>
      <c r="I4" s="109">
        <v>1</v>
      </c>
      <c r="J4" s="111">
        <v>1</v>
      </c>
      <c r="K4" s="109"/>
      <c r="L4" s="110"/>
      <c r="M4" s="109">
        <v>1</v>
      </c>
      <c r="N4" s="110">
        <v>1</v>
      </c>
      <c r="O4" s="109"/>
      <c r="P4" s="110"/>
      <c r="Q4" s="109"/>
      <c r="R4" s="110"/>
      <c r="S4" s="109"/>
      <c r="T4" s="110"/>
      <c r="U4" s="109"/>
      <c r="V4" s="110"/>
      <c r="W4" s="109"/>
      <c r="X4" s="110"/>
      <c r="Y4" s="109"/>
      <c r="Z4" s="110"/>
      <c r="AA4" s="109"/>
      <c r="AB4" s="110"/>
      <c r="AC4" s="109"/>
      <c r="AD4" s="110"/>
      <c r="AE4" s="109"/>
      <c r="AF4" s="110"/>
      <c r="AG4" s="109"/>
      <c r="AH4" s="110"/>
      <c r="AI4" s="109"/>
      <c r="AJ4" s="110"/>
      <c r="AK4" s="109"/>
      <c r="AL4" s="110"/>
      <c r="AM4" s="109"/>
      <c r="AN4" s="110"/>
      <c r="AO4" s="109"/>
      <c r="AP4" s="110"/>
      <c r="AQ4" s="109"/>
      <c r="AR4" s="110"/>
      <c r="AS4" s="109"/>
      <c r="AT4" s="110"/>
      <c r="AU4" s="109"/>
      <c r="AV4" s="110"/>
      <c r="AW4" s="109"/>
      <c r="AX4" s="110"/>
      <c r="AY4" s="109"/>
      <c r="AZ4" s="110"/>
      <c r="BA4" s="109"/>
      <c r="BB4" s="110"/>
      <c r="BC4" s="109"/>
      <c r="BD4" s="110"/>
      <c r="BE4" s="109"/>
      <c r="BF4" s="110"/>
      <c r="BG4" s="109"/>
      <c r="BH4" s="110"/>
      <c r="BI4" s="109"/>
    </row>
    <row r="5" spans="1:61" s="4" customFormat="1" x14ac:dyDescent="0.25">
      <c r="A5" s="103">
        <v>1</v>
      </c>
      <c r="B5" s="8" t="s">
        <v>11</v>
      </c>
      <c r="C5" s="8" t="s">
        <v>12</v>
      </c>
      <c r="D5" s="13">
        <f>SUM(F5:BI5)</f>
        <v>0</v>
      </c>
      <c r="E5" s="5" t="s">
        <v>13</v>
      </c>
      <c r="F5" s="7">
        <v>0</v>
      </c>
      <c r="G5" s="112"/>
      <c r="H5" s="113"/>
      <c r="I5" s="112"/>
      <c r="J5" s="113"/>
      <c r="K5" s="112"/>
      <c r="L5" s="113"/>
      <c r="M5" s="112"/>
      <c r="N5" s="113"/>
      <c r="O5" s="112"/>
      <c r="P5" s="113"/>
      <c r="Q5" s="112"/>
      <c r="R5" s="113"/>
      <c r="S5" s="112"/>
      <c r="T5" s="113"/>
      <c r="U5" s="112"/>
      <c r="V5" s="113"/>
      <c r="W5" s="112"/>
      <c r="X5" s="113"/>
      <c r="Y5" s="112"/>
      <c r="Z5" s="113"/>
      <c r="AA5" s="112"/>
      <c r="AB5" s="113"/>
      <c r="AC5" s="112"/>
      <c r="AD5" s="113"/>
      <c r="AE5" s="112"/>
      <c r="AF5" s="113"/>
      <c r="AG5" s="112"/>
      <c r="AH5" s="113"/>
      <c r="AI5" s="112"/>
      <c r="AJ5" s="113"/>
      <c r="AK5" s="112"/>
      <c r="AL5" s="113"/>
      <c r="AM5" s="112"/>
      <c r="AN5" s="113"/>
      <c r="AO5" s="112"/>
      <c r="AP5" s="113"/>
      <c r="AQ5" s="112"/>
      <c r="AR5" s="113"/>
      <c r="AS5" s="112"/>
      <c r="AT5" s="113"/>
      <c r="AU5" s="112"/>
      <c r="AV5" s="113"/>
      <c r="AW5" s="112"/>
      <c r="AX5" s="113"/>
      <c r="AY5" s="112"/>
      <c r="AZ5" s="113"/>
      <c r="BA5" s="112"/>
      <c r="BB5" s="113"/>
      <c r="BC5" s="112"/>
      <c r="BD5" s="113"/>
      <c r="BE5" s="112"/>
      <c r="BF5" s="113"/>
      <c r="BG5" s="112"/>
      <c r="BH5" s="113"/>
      <c r="BI5" s="112"/>
    </row>
    <row r="6" spans="1:61" s="4" customFormat="1" x14ac:dyDescent="0.25">
      <c r="A6" s="103">
        <v>2</v>
      </c>
      <c r="B6" s="8" t="s">
        <v>14</v>
      </c>
      <c r="C6" s="8" t="s">
        <v>15</v>
      </c>
      <c r="D6" s="13">
        <f>SUM(F6:BI6)</f>
        <v>0.46875</v>
      </c>
      <c r="E6" s="5" t="s">
        <v>13</v>
      </c>
      <c r="F6" s="7">
        <v>0.46527777777777779</v>
      </c>
      <c r="G6" s="112"/>
      <c r="H6" s="113">
        <v>3.472222222222222E-3</v>
      </c>
      <c r="I6" s="112"/>
      <c r="J6" s="113"/>
      <c r="K6" s="112"/>
      <c r="L6" s="113"/>
      <c r="M6" s="112"/>
      <c r="N6" s="113"/>
      <c r="O6" s="112"/>
      <c r="P6" s="113"/>
      <c r="Q6" s="112"/>
      <c r="R6" s="113"/>
      <c r="S6" s="112"/>
      <c r="T6" s="113"/>
      <c r="U6" s="112"/>
      <c r="V6" s="113"/>
      <c r="W6" s="112"/>
      <c r="X6" s="113"/>
      <c r="Y6" s="112"/>
      <c r="Z6" s="113"/>
      <c r="AA6" s="112"/>
      <c r="AB6" s="113"/>
      <c r="AC6" s="112"/>
      <c r="AD6" s="113"/>
      <c r="AE6" s="112"/>
      <c r="AF6" s="113"/>
      <c r="AG6" s="112"/>
      <c r="AH6" s="113"/>
      <c r="AI6" s="112"/>
      <c r="AJ6" s="113"/>
      <c r="AK6" s="112"/>
      <c r="AL6" s="113"/>
      <c r="AM6" s="112"/>
      <c r="AN6" s="113"/>
      <c r="AO6" s="112"/>
      <c r="AP6" s="113"/>
      <c r="AQ6" s="112"/>
      <c r="AR6" s="113"/>
      <c r="AS6" s="112"/>
      <c r="AT6" s="113"/>
      <c r="AU6" s="112"/>
      <c r="AV6" s="113"/>
      <c r="AW6" s="112"/>
      <c r="AX6" s="113"/>
      <c r="AY6" s="112"/>
      <c r="AZ6" s="113"/>
      <c r="BA6" s="112"/>
      <c r="BB6" s="113"/>
      <c r="BC6" s="112"/>
      <c r="BD6" s="113"/>
      <c r="BE6" s="112"/>
      <c r="BF6" s="113"/>
      <c r="BG6" s="112"/>
      <c r="BH6" s="113"/>
      <c r="BI6" s="112"/>
    </row>
    <row r="7" spans="1:61" s="4" customFormat="1" x14ac:dyDescent="0.25">
      <c r="A7" s="103">
        <v>3</v>
      </c>
      <c r="B7" s="8" t="s">
        <v>16</v>
      </c>
      <c r="C7" s="8" t="s">
        <v>17</v>
      </c>
      <c r="D7" s="13">
        <f>SUM(F7:BI7)</f>
        <v>4.2006944444444452</v>
      </c>
      <c r="E7" s="5" t="s">
        <v>13</v>
      </c>
      <c r="F7" s="7">
        <v>4.1833333333333336</v>
      </c>
      <c r="G7" s="112">
        <v>3.472222222222222E-3</v>
      </c>
      <c r="H7" s="113">
        <v>3.472222222222222E-3</v>
      </c>
      <c r="I7" s="112"/>
      <c r="J7" s="113"/>
      <c r="K7" s="112"/>
      <c r="L7" s="113"/>
      <c r="M7" s="112">
        <v>6.9444444444444441E-3</v>
      </c>
      <c r="N7" s="113">
        <v>3.472222222222222E-3</v>
      </c>
      <c r="O7" s="112"/>
      <c r="P7" s="113"/>
      <c r="Q7" s="112"/>
      <c r="R7" s="113"/>
      <c r="S7" s="112"/>
      <c r="T7" s="113"/>
      <c r="U7" s="112"/>
      <c r="V7" s="113"/>
      <c r="W7" s="112"/>
      <c r="X7" s="113"/>
      <c r="Y7" s="112"/>
      <c r="Z7" s="113"/>
      <c r="AA7" s="112"/>
      <c r="AB7" s="113"/>
      <c r="AC7" s="112"/>
      <c r="AD7" s="113"/>
      <c r="AE7" s="112"/>
      <c r="AF7" s="113"/>
      <c r="AG7" s="112"/>
      <c r="AH7" s="113"/>
      <c r="AI7" s="112"/>
      <c r="AJ7" s="113"/>
      <c r="AK7" s="112"/>
      <c r="AL7" s="113"/>
      <c r="AM7" s="112"/>
      <c r="AN7" s="113"/>
      <c r="AO7" s="112"/>
      <c r="AP7" s="113"/>
      <c r="AQ7" s="112"/>
      <c r="AR7" s="113"/>
      <c r="AS7" s="112"/>
      <c r="AT7" s="113"/>
      <c r="AU7" s="112"/>
      <c r="AV7" s="113"/>
      <c r="AW7" s="112"/>
      <c r="AX7" s="113"/>
      <c r="AY7" s="112"/>
      <c r="AZ7" s="113"/>
      <c r="BA7" s="112"/>
      <c r="BB7" s="113"/>
      <c r="BC7" s="112"/>
      <c r="BD7" s="113"/>
      <c r="BE7" s="112"/>
      <c r="BF7" s="113"/>
      <c r="BG7" s="112"/>
      <c r="BH7" s="113"/>
      <c r="BI7" s="112"/>
    </row>
    <row r="8" spans="1:61" s="4" customFormat="1" x14ac:dyDescent="0.25">
      <c r="A8" s="103">
        <v>4</v>
      </c>
      <c r="B8" s="8" t="s">
        <v>18</v>
      </c>
      <c r="C8" s="8" t="s">
        <v>19</v>
      </c>
      <c r="D8" s="12">
        <f>SUM(F8:BI8)</f>
        <v>1300</v>
      </c>
      <c r="E8" s="11" t="s">
        <v>10</v>
      </c>
      <c r="F8" s="6">
        <v>1300</v>
      </c>
      <c r="G8" s="109"/>
      <c r="H8" s="110"/>
      <c r="I8" s="109"/>
      <c r="J8" s="110"/>
      <c r="K8" s="109"/>
      <c r="L8" s="110"/>
      <c r="M8" s="109"/>
      <c r="N8" s="110"/>
      <c r="O8" s="109"/>
      <c r="P8" s="110"/>
      <c r="Q8" s="109"/>
      <c r="R8" s="110"/>
      <c r="S8" s="109"/>
      <c r="T8" s="110"/>
      <c r="U8" s="109"/>
      <c r="V8" s="110"/>
      <c r="W8" s="109"/>
      <c r="X8" s="110"/>
      <c r="Y8" s="109"/>
      <c r="Z8" s="110"/>
      <c r="AA8" s="109"/>
      <c r="AB8" s="110"/>
      <c r="AC8" s="109"/>
      <c r="AD8" s="110"/>
      <c r="AE8" s="109"/>
      <c r="AF8" s="110"/>
      <c r="AG8" s="109"/>
      <c r="AH8" s="110"/>
      <c r="AI8" s="109"/>
      <c r="AJ8" s="110"/>
      <c r="AK8" s="109"/>
      <c r="AL8" s="110"/>
      <c r="AM8" s="109"/>
      <c r="AN8" s="110"/>
      <c r="AO8" s="109"/>
      <c r="AP8" s="110"/>
      <c r="AQ8" s="109"/>
      <c r="AR8" s="110"/>
      <c r="AS8" s="109"/>
      <c r="AT8" s="110"/>
      <c r="AU8" s="109"/>
      <c r="AV8" s="110"/>
      <c r="AW8" s="109"/>
      <c r="AX8" s="110"/>
      <c r="AY8" s="109"/>
      <c r="AZ8" s="110"/>
      <c r="BA8" s="109"/>
      <c r="BB8" s="110"/>
      <c r="BC8" s="109"/>
      <c r="BD8" s="110"/>
      <c r="BE8" s="109"/>
      <c r="BF8" s="110"/>
      <c r="BG8" s="109"/>
      <c r="BH8" s="110"/>
      <c r="BI8" s="109"/>
    </row>
    <row r="9" spans="1:61" s="4" customFormat="1" x14ac:dyDescent="0.25">
      <c r="A9" s="103">
        <v>5</v>
      </c>
      <c r="B9" s="8" t="s">
        <v>20</v>
      </c>
      <c r="C9" s="8" t="s">
        <v>21</v>
      </c>
      <c r="D9" s="12">
        <f>SUM(F9:BI9)</f>
        <v>330</v>
      </c>
      <c r="E9" s="11" t="s">
        <v>10</v>
      </c>
      <c r="F9" s="6">
        <v>330</v>
      </c>
      <c r="G9" s="109"/>
      <c r="H9" s="110"/>
      <c r="I9" s="109"/>
      <c r="J9" s="110"/>
      <c r="K9" s="109"/>
      <c r="L9" s="110"/>
      <c r="M9" s="109"/>
      <c r="N9" s="110"/>
      <c r="O9" s="109"/>
      <c r="P9" s="110"/>
      <c r="Q9" s="109"/>
      <c r="R9" s="110"/>
      <c r="S9" s="109"/>
      <c r="T9" s="110"/>
      <c r="U9" s="109"/>
      <c r="V9" s="110"/>
      <c r="W9" s="109"/>
      <c r="X9" s="110"/>
      <c r="Y9" s="109"/>
      <c r="Z9" s="110"/>
      <c r="AA9" s="109"/>
      <c r="AB9" s="110"/>
      <c r="AC9" s="109"/>
      <c r="AD9" s="110"/>
      <c r="AE9" s="109"/>
      <c r="AF9" s="110"/>
      <c r="AG9" s="109"/>
      <c r="AH9" s="110"/>
      <c r="AI9" s="109"/>
      <c r="AJ9" s="110"/>
      <c r="AK9" s="109"/>
      <c r="AL9" s="110"/>
      <c r="AM9" s="109"/>
      <c r="AN9" s="110"/>
      <c r="AO9" s="109"/>
      <c r="AP9" s="110"/>
      <c r="AQ9" s="109"/>
      <c r="AR9" s="110"/>
      <c r="AS9" s="109"/>
      <c r="AT9" s="110"/>
      <c r="AU9" s="109"/>
      <c r="AV9" s="110"/>
      <c r="AW9" s="109"/>
      <c r="AX9" s="110"/>
      <c r="AY9" s="109"/>
      <c r="AZ9" s="110"/>
      <c r="BA9" s="109"/>
      <c r="BB9" s="110"/>
      <c r="BC9" s="109"/>
      <c r="BD9" s="110"/>
      <c r="BE9" s="109"/>
      <c r="BF9" s="110"/>
      <c r="BG9" s="109"/>
      <c r="BH9" s="110"/>
      <c r="BI9" s="109"/>
    </row>
    <row r="10" spans="1:61" s="4" customFormat="1" x14ac:dyDescent="0.25">
      <c r="A10" s="103">
        <v>6</v>
      </c>
      <c r="B10" s="8" t="s">
        <v>22</v>
      </c>
      <c r="C10" s="8" t="s">
        <v>23</v>
      </c>
      <c r="D10" s="12">
        <f>SUM(F10:BI10)</f>
        <v>62.05</v>
      </c>
      <c r="E10" s="11" t="s">
        <v>10</v>
      </c>
      <c r="F10" s="6">
        <v>62.05</v>
      </c>
      <c r="G10" s="109"/>
      <c r="H10" s="110"/>
      <c r="I10" s="109"/>
      <c r="J10" s="110"/>
      <c r="K10" s="109"/>
      <c r="L10" s="110"/>
      <c r="M10" s="109"/>
      <c r="N10" s="110"/>
      <c r="O10" s="109"/>
      <c r="P10" s="110"/>
      <c r="Q10" s="109"/>
      <c r="R10" s="110"/>
      <c r="S10" s="109"/>
      <c r="T10" s="110"/>
      <c r="U10" s="109"/>
      <c r="V10" s="110"/>
      <c r="W10" s="109"/>
      <c r="X10" s="110"/>
      <c r="Y10" s="109"/>
      <c r="Z10" s="110"/>
      <c r="AA10" s="109"/>
      <c r="AB10" s="110"/>
      <c r="AC10" s="109"/>
      <c r="AD10" s="110"/>
      <c r="AE10" s="109"/>
      <c r="AF10" s="110"/>
      <c r="AG10" s="109"/>
      <c r="AH10" s="110"/>
      <c r="AI10" s="109"/>
      <c r="AJ10" s="110"/>
      <c r="AK10" s="109"/>
      <c r="AL10" s="110"/>
      <c r="AM10" s="109"/>
      <c r="AN10" s="110"/>
      <c r="AO10" s="109"/>
      <c r="AP10" s="110"/>
      <c r="AQ10" s="109"/>
      <c r="AR10" s="110"/>
      <c r="AS10" s="109"/>
      <c r="AT10" s="110"/>
      <c r="AU10" s="109"/>
      <c r="AV10" s="110"/>
      <c r="AW10" s="109"/>
      <c r="AX10" s="110"/>
      <c r="AY10" s="109"/>
      <c r="AZ10" s="110"/>
      <c r="BA10" s="109"/>
      <c r="BB10" s="110"/>
      <c r="BC10" s="109"/>
      <c r="BD10" s="110"/>
      <c r="BE10" s="109"/>
      <c r="BF10" s="110"/>
      <c r="BG10" s="109"/>
      <c r="BH10" s="110"/>
      <c r="BI10" s="109"/>
    </row>
    <row r="11" spans="1:61" s="4" customFormat="1" x14ac:dyDescent="0.25">
      <c r="A11" s="103">
        <v>7</v>
      </c>
      <c r="B11" s="8" t="s">
        <v>24</v>
      </c>
      <c r="C11" s="8" t="s">
        <v>25</v>
      </c>
      <c r="D11" s="12">
        <f>SUM(F11:BI11)</f>
        <v>775</v>
      </c>
      <c r="E11" s="11" t="s">
        <v>10</v>
      </c>
      <c r="F11" s="6">
        <v>775</v>
      </c>
      <c r="G11" s="109"/>
      <c r="H11" s="110"/>
      <c r="I11" s="109"/>
      <c r="J11" s="110"/>
      <c r="K11" s="109"/>
      <c r="L11" s="110"/>
      <c r="M11" s="109"/>
      <c r="N11" s="110"/>
      <c r="O11" s="109"/>
      <c r="P11" s="110"/>
      <c r="Q11" s="109"/>
      <c r="R11" s="110"/>
      <c r="S11" s="109"/>
      <c r="T11" s="110"/>
      <c r="U11" s="109"/>
      <c r="V11" s="110"/>
      <c r="W11" s="109"/>
      <c r="X11" s="110"/>
      <c r="Y11" s="109"/>
      <c r="Z11" s="110"/>
      <c r="AA11" s="109"/>
      <c r="AB11" s="110"/>
      <c r="AC11" s="109"/>
      <c r="AD11" s="110"/>
      <c r="AE11" s="109"/>
      <c r="AF11" s="110"/>
      <c r="AG11" s="109"/>
      <c r="AH11" s="110"/>
      <c r="AI11" s="109"/>
      <c r="AJ11" s="110"/>
      <c r="AK11" s="109"/>
      <c r="AL11" s="110"/>
      <c r="AM11" s="109"/>
      <c r="AN11" s="110"/>
      <c r="AO11" s="109"/>
      <c r="AP11" s="110"/>
      <c r="AQ11" s="109"/>
      <c r="AR11" s="110"/>
      <c r="AS11" s="109"/>
      <c r="AT11" s="110"/>
      <c r="AU11" s="109"/>
      <c r="AV11" s="110"/>
      <c r="AW11" s="109"/>
      <c r="AX11" s="110"/>
      <c r="AY11" s="109"/>
      <c r="AZ11" s="110"/>
      <c r="BA11" s="109"/>
      <c r="BB11" s="110"/>
      <c r="BC11" s="109"/>
      <c r="BD11" s="110"/>
      <c r="BE11" s="109"/>
      <c r="BF11" s="110"/>
      <c r="BG11" s="109"/>
      <c r="BH11" s="110"/>
      <c r="BI11" s="109"/>
    </row>
    <row r="12" spans="1:61" s="4" customFormat="1" x14ac:dyDescent="0.25">
      <c r="A12" s="103">
        <v>8</v>
      </c>
      <c r="B12" s="8" t="s">
        <v>26</v>
      </c>
      <c r="C12" s="8" t="s">
        <v>27</v>
      </c>
      <c r="D12" s="12">
        <f>SUM(F12:BI12)</f>
        <v>0</v>
      </c>
      <c r="E12" s="11" t="s">
        <v>10</v>
      </c>
      <c r="F12" s="6">
        <v>0</v>
      </c>
      <c r="G12" s="109"/>
      <c r="H12" s="110"/>
      <c r="I12" s="109"/>
      <c r="J12" s="110"/>
      <c r="K12" s="109"/>
      <c r="L12" s="110"/>
      <c r="M12" s="109"/>
      <c r="N12" s="110"/>
      <c r="O12" s="109"/>
      <c r="P12" s="110"/>
      <c r="Q12" s="109"/>
      <c r="R12" s="110"/>
      <c r="S12" s="109"/>
      <c r="T12" s="110"/>
      <c r="U12" s="109"/>
      <c r="V12" s="110"/>
      <c r="W12" s="109"/>
      <c r="X12" s="110"/>
      <c r="Y12" s="109"/>
      <c r="Z12" s="110"/>
      <c r="AA12" s="109"/>
      <c r="AB12" s="110"/>
      <c r="AC12" s="109"/>
      <c r="AD12" s="110"/>
      <c r="AE12" s="109"/>
      <c r="AF12" s="110"/>
      <c r="AG12" s="109"/>
      <c r="AH12" s="110"/>
      <c r="AI12" s="109"/>
      <c r="AJ12" s="110"/>
      <c r="AK12" s="109"/>
      <c r="AL12" s="110"/>
      <c r="AM12" s="109"/>
      <c r="AN12" s="110"/>
      <c r="AO12" s="109"/>
      <c r="AP12" s="110"/>
      <c r="AQ12" s="109"/>
      <c r="AR12" s="110"/>
      <c r="AS12" s="109"/>
      <c r="AT12" s="110"/>
      <c r="AU12" s="109"/>
      <c r="AV12" s="110"/>
      <c r="AW12" s="109"/>
      <c r="AX12" s="110"/>
      <c r="AY12" s="109"/>
      <c r="AZ12" s="110"/>
      <c r="BA12" s="109"/>
      <c r="BB12" s="110"/>
      <c r="BC12" s="109"/>
      <c r="BD12" s="110"/>
      <c r="BE12" s="109"/>
      <c r="BF12" s="110"/>
      <c r="BG12" s="109"/>
      <c r="BH12" s="110"/>
      <c r="BI12" s="109"/>
    </row>
    <row r="13" spans="1:61" s="4" customFormat="1" x14ac:dyDescent="0.25">
      <c r="A13" s="103">
        <v>9</v>
      </c>
      <c r="B13" s="8" t="s">
        <v>28</v>
      </c>
      <c r="C13" s="8" t="s">
        <v>29</v>
      </c>
      <c r="D13" s="13">
        <f>SUM(F13:BI13)</f>
        <v>83.773611111111123</v>
      </c>
      <c r="E13" s="5" t="s">
        <v>13</v>
      </c>
      <c r="F13" s="7">
        <v>83.357638888888886</v>
      </c>
      <c r="G13" s="112">
        <v>2.8472222222222222E-2</v>
      </c>
      <c r="H13" s="113">
        <v>4.6527777777777779E-2</v>
      </c>
      <c r="I13" s="112">
        <v>5.347222222222222E-2</v>
      </c>
      <c r="J13" s="113">
        <v>6.8750000000000006E-2</v>
      </c>
      <c r="K13" s="112"/>
      <c r="L13" s="113">
        <v>1.9444444444444445E-2</v>
      </c>
      <c r="M13" s="112">
        <v>7.5694444444444439E-2</v>
      </c>
      <c r="N13" s="113">
        <v>0.12361111111111112</v>
      </c>
      <c r="O13" s="112"/>
      <c r="P13" s="113"/>
      <c r="Q13" s="112"/>
      <c r="R13" s="113"/>
      <c r="S13" s="112"/>
      <c r="T13" s="113"/>
      <c r="U13" s="112"/>
      <c r="V13" s="113"/>
      <c r="W13" s="112"/>
      <c r="X13" s="113"/>
      <c r="Y13" s="112"/>
      <c r="Z13" s="113"/>
      <c r="AA13" s="112"/>
      <c r="AB13" s="113"/>
      <c r="AC13" s="112"/>
      <c r="AD13" s="113"/>
      <c r="AE13" s="112"/>
      <c r="AF13" s="113"/>
      <c r="AG13" s="112"/>
      <c r="AH13" s="113"/>
      <c r="AI13" s="112"/>
      <c r="AJ13" s="113"/>
      <c r="AK13" s="112"/>
      <c r="AL13" s="113"/>
      <c r="AM13" s="112"/>
      <c r="AN13" s="113"/>
      <c r="AO13" s="112"/>
      <c r="AP13" s="113"/>
      <c r="AQ13" s="112"/>
      <c r="AR13" s="113"/>
      <c r="AS13" s="112"/>
      <c r="AT13" s="113"/>
      <c r="AU13" s="112"/>
      <c r="AV13" s="113"/>
      <c r="AW13" s="112"/>
      <c r="AX13" s="113"/>
      <c r="AY13" s="112"/>
      <c r="AZ13" s="113"/>
      <c r="BA13" s="112"/>
      <c r="BB13" s="113"/>
      <c r="BC13" s="112"/>
      <c r="BD13" s="113"/>
      <c r="BE13" s="112"/>
      <c r="BF13" s="113"/>
      <c r="BG13" s="112"/>
      <c r="BH13" s="113"/>
      <c r="BI13" s="112"/>
    </row>
    <row r="14" spans="1:61" s="4" customFormat="1" x14ac:dyDescent="0.25">
      <c r="A14" s="103">
        <v>10</v>
      </c>
      <c r="B14" s="8" t="s">
        <v>30</v>
      </c>
      <c r="C14" s="8" t="s">
        <v>31</v>
      </c>
      <c r="D14" s="12">
        <f>SUM(F14:BI14)</f>
        <v>4067</v>
      </c>
      <c r="E14" s="11" t="s">
        <v>10</v>
      </c>
      <c r="F14" s="6">
        <v>4050</v>
      </c>
      <c r="G14" s="109">
        <v>2</v>
      </c>
      <c r="H14" s="110">
        <v>1</v>
      </c>
      <c r="I14" s="109">
        <v>2</v>
      </c>
      <c r="J14" s="110">
        <v>2</v>
      </c>
      <c r="K14" s="109"/>
      <c r="L14" s="110">
        <v>1</v>
      </c>
      <c r="M14" s="109">
        <v>4</v>
      </c>
      <c r="N14" s="110">
        <v>5</v>
      </c>
      <c r="O14" s="109"/>
      <c r="P14" s="110"/>
      <c r="Q14" s="109"/>
      <c r="R14" s="110"/>
      <c r="S14" s="109"/>
      <c r="T14" s="110"/>
      <c r="U14" s="109"/>
      <c r="V14" s="110"/>
      <c r="W14" s="109"/>
      <c r="X14" s="110"/>
      <c r="Y14" s="109"/>
      <c r="Z14" s="110"/>
      <c r="AA14" s="109"/>
      <c r="AB14" s="110"/>
      <c r="AC14" s="109"/>
      <c r="AD14" s="110"/>
      <c r="AE14" s="109"/>
      <c r="AF14" s="110"/>
      <c r="AG14" s="109"/>
      <c r="AH14" s="110"/>
      <c r="AI14" s="109"/>
      <c r="AJ14" s="110"/>
      <c r="AK14" s="109"/>
      <c r="AL14" s="110"/>
      <c r="AM14" s="109"/>
      <c r="AN14" s="110"/>
      <c r="AO14" s="109"/>
      <c r="AP14" s="110"/>
      <c r="AQ14" s="109"/>
      <c r="AR14" s="110"/>
      <c r="AS14" s="109"/>
      <c r="AT14" s="110"/>
      <c r="AU14" s="109"/>
      <c r="AV14" s="110"/>
      <c r="AW14" s="109"/>
      <c r="AX14" s="110"/>
      <c r="AY14" s="109"/>
      <c r="AZ14" s="110"/>
      <c r="BA14" s="109"/>
      <c r="BB14" s="110"/>
      <c r="BC14" s="109"/>
      <c r="BD14" s="110"/>
      <c r="BE14" s="109"/>
      <c r="BF14" s="110"/>
      <c r="BG14" s="109"/>
      <c r="BH14" s="110"/>
      <c r="BI14" s="109"/>
    </row>
    <row r="15" spans="1:61" s="4" customFormat="1" x14ac:dyDescent="0.25">
      <c r="A15" s="103">
        <v>11</v>
      </c>
      <c r="B15" s="8" t="s">
        <v>32</v>
      </c>
      <c r="C15" s="8" t="s">
        <v>33</v>
      </c>
      <c r="D15" s="12">
        <f>SUM(F15:BI15)</f>
        <v>1436</v>
      </c>
      <c r="E15" s="11" t="s">
        <v>10</v>
      </c>
      <c r="F15" s="6">
        <v>1426</v>
      </c>
      <c r="G15" s="109">
        <v>1</v>
      </c>
      <c r="H15" s="110">
        <v>1</v>
      </c>
      <c r="I15" s="109">
        <v>1</v>
      </c>
      <c r="J15" s="110">
        <v>2</v>
      </c>
      <c r="K15" s="109">
        <v>2</v>
      </c>
      <c r="L15" s="110">
        <v>1</v>
      </c>
      <c r="M15" s="109">
        <v>1</v>
      </c>
      <c r="N15" s="110">
        <v>1</v>
      </c>
      <c r="O15" s="109"/>
      <c r="P15" s="110"/>
      <c r="Q15" s="109"/>
      <c r="R15" s="110"/>
      <c r="S15" s="109"/>
      <c r="T15" s="110"/>
      <c r="U15" s="109"/>
      <c r="V15" s="110"/>
      <c r="W15" s="109"/>
      <c r="X15" s="110"/>
      <c r="Y15" s="109"/>
      <c r="Z15" s="110"/>
      <c r="AA15" s="109"/>
      <c r="AB15" s="110"/>
      <c r="AC15" s="109"/>
      <c r="AD15" s="110"/>
      <c r="AE15" s="109"/>
      <c r="AF15" s="110"/>
      <c r="AG15" s="109"/>
      <c r="AH15" s="110"/>
      <c r="AI15" s="109"/>
      <c r="AJ15" s="110"/>
      <c r="AK15" s="109"/>
      <c r="AL15" s="110"/>
      <c r="AM15" s="109"/>
      <c r="AN15" s="110"/>
      <c r="AO15" s="109"/>
      <c r="AP15" s="110"/>
      <c r="AQ15" s="109"/>
      <c r="AR15" s="110"/>
      <c r="AS15" s="109"/>
      <c r="AT15" s="110"/>
      <c r="AU15" s="109"/>
      <c r="AV15" s="110"/>
      <c r="AW15" s="109"/>
      <c r="AX15" s="110"/>
      <c r="AY15" s="109"/>
      <c r="AZ15" s="110"/>
      <c r="BA15" s="109"/>
      <c r="BB15" s="110"/>
      <c r="BC15" s="109"/>
      <c r="BD15" s="110"/>
      <c r="BE15" s="109"/>
      <c r="BF15" s="110"/>
      <c r="BG15" s="109"/>
      <c r="BH15" s="110"/>
      <c r="BI15" s="109"/>
    </row>
    <row r="16" spans="1:61" s="4" customFormat="1" x14ac:dyDescent="0.25">
      <c r="A16" s="103">
        <v>12</v>
      </c>
      <c r="B16" s="8" t="s">
        <v>34</v>
      </c>
      <c r="C16" s="8" t="s">
        <v>35</v>
      </c>
      <c r="D16" s="12">
        <f>SUM(F16:BI16)</f>
        <v>6386</v>
      </c>
      <c r="E16" s="11" t="s">
        <v>10</v>
      </c>
      <c r="F16" s="6">
        <v>6361</v>
      </c>
      <c r="G16" s="109">
        <v>1</v>
      </c>
      <c r="H16" s="110">
        <v>1</v>
      </c>
      <c r="I16" s="109">
        <v>1</v>
      </c>
      <c r="J16" s="110">
        <v>2</v>
      </c>
      <c r="K16" s="109"/>
      <c r="L16" s="110">
        <v>1</v>
      </c>
      <c r="M16" s="109">
        <v>3</v>
      </c>
      <c r="N16" s="110">
        <v>16</v>
      </c>
      <c r="O16" s="109"/>
      <c r="P16" s="110"/>
      <c r="Q16" s="109"/>
      <c r="R16" s="110"/>
      <c r="S16" s="109"/>
      <c r="T16" s="110"/>
      <c r="U16" s="109"/>
      <c r="V16" s="110"/>
      <c r="W16" s="109"/>
      <c r="X16" s="110"/>
      <c r="Y16" s="109"/>
      <c r="Z16" s="110"/>
      <c r="AA16" s="109"/>
      <c r="AB16" s="110"/>
      <c r="AC16" s="109"/>
      <c r="AD16" s="110"/>
      <c r="AE16" s="109"/>
      <c r="AF16" s="110"/>
      <c r="AG16" s="109"/>
      <c r="AH16" s="110"/>
      <c r="AI16" s="109"/>
      <c r="AJ16" s="110"/>
      <c r="AK16" s="109"/>
      <c r="AL16" s="110"/>
      <c r="AM16" s="109"/>
      <c r="AN16" s="110"/>
      <c r="AO16" s="109"/>
      <c r="AP16" s="110"/>
      <c r="AQ16" s="109"/>
      <c r="AR16" s="110"/>
      <c r="AS16" s="109"/>
      <c r="AT16" s="110"/>
      <c r="AU16" s="109"/>
      <c r="AV16" s="110"/>
      <c r="AW16" s="109"/>
      <c r="AX16" s="110"/>
      <c r="AY16" s="109"/>
      <c r="AZ16" s="110"/>
      <c r="BA16" s="109"/>
      <c r="BB16" s="110"/>
      <c r="BC16" s="109"/>
      <c r="BD16" s="110"/>
      <c r="BE16" s="109"/>
      <c r="BF16" s="110"/>
      <c r="BG16" s="109"/>
      <c r="BH16" s="110"/>
      <c r="BI16" s="109"/>
    </row>
    <row r="17" spans="1:61" s="4" customFormat="1" x14ac:dyDescent="0.25">
      <c r="A17" s="103">
        <v>13</v>
      </c>
      <c r="B17" s="8" t="s">
        <v>36</v>
      </c>
      <c r="C17" s="8" t="s">
        <v>37</v>
      </c>
      <c r="D17" s="12">
        <f>SUM(F17:BI17)</f>
        <v>348</v>
      </c>
      <c r="E17" s="11" t="s">
        <v>10</v>
      </c>
      <c r="F17" s="6">
        <v>348</v>
      </c>
      <c r="G17" s="109"/>
      <c r="H17" s="110"/>
      <c r="I17" s="109"/>
      <c r="J17" s="110"/>
      <c r="K17" s="109"/>
      <c r="L17" s="110"/>
      <c r="M17" s="109"/>
      <c r="N17" s="110"/>
      <c r="O17" s="109"/>
      <c r="P17" s="110"/>
      <c r="Q17" s="109"/>
      <c r="R17" s="110"/>
      <c r="S17" s="109"/>
      <c r="T17" s="110"/>
      <c r="U17" s="109"/>
      <c r="V17" s="110"/>
      <c r="W17" s="109"/>
      <c r="X17" s="110"/>
      <c r="Y17" s="109"/>
      <c r="Z17" s="110"/>
      <c r="AA17" s="109"/>
      <c r="AB17" s="110"/>
      <c r="AC17" s="109"/>
      <c r="AD17" s="110"/>
      <c r="AE17" s="109"/>
      <c r="AF17" s="110"/>
      <c r="AG17" s="109"/>
      <c r="AH17" s="110"/>
      <c r="AI17" s="109"/>
      <c r="AJ17" s="110"/>
      <c r="AK17" s="109"/>
      <c r="AL17" s="110"/>
      <c r="AM17" s="109"/>
      <c r="AN17" s="110"/>
      <c r="AO17" s="109"/>
      <c r="AP17" s="110"/>
      <c r="AQ17" s="109"/>
      <c r="AR17" s="110"/>
      <c r="AS17" s="109"/>
      <c r="AT17" s="110"/>
      <c r="AU17" s="109"/>
      <c r="AV17" s="110"/>
      <c r="AW17" s="109"/>
      <c r="AX17" s="110"/>
      <c r="AY17" s="109"/>
      <c r="AZ17" s="110"/>
      <c r="BA17" s="109"/>
      <c r="BB17" s="110"/>
      <c r="BC17" s="109"/>
      <c r="BD17" s="110"/>
      <c r="BE17" s="109"/>
      <c r="BF17" s="110"/>
      <c r="BG17" s="109"/>
      <c r="BH17" s="110"/>
      <c r="BI17" s="109"/>
    </row>
    <row r="18" spans="1:61" s="4" customFormat="1" x14ac:dyDescent="0.25">
      <c r="A18" s="103">
        <v>14</v>
      </c>
      <c r="B18" s="8" t="s">
        <v>38</v>
      </c>
      <c r="C18" s="8" t="s">
        <v>39</v>
      </c>
      <c r="D18" s="12">
        <f>SUM(F18:BI18)</f>
        <v>1.78</v>
      </c>
      <c r="E18" s="11" t="s">
        <v>10</v>
      </c>
      <c r="F18" s="6">
        <v>1.78</v>
      </c>
      <c r="G18" s="109"/>
      <c r="H18" s="110"/>
      <c r="I18" s="109"/>
      <c r="J18" s="110"/>
      <c r="K18" s="109"/>
      <c r="L18" s="110"/>
      <c r="M18" s="109"/>
      <c r="N18" s="110"/>
      <c r="O18" s="109"/>
      <c r="P18" s="110"/>
      <c r="Q18" s="109"/>
      <c r="R18" s="110"/>
      <c r="S18" s="109"/>
      <c r="T18" s="110"/>
      <c r="U18" s="109"/>
      <c r="V18" s="110"/>
      <c r="W18" s="109"/>
      <c r="X18" s="110"/>
      <c r="Y18" s="109"/>
      <c r="Z18" s="110"/>
      <c r="AA18" s="109"/>
      <c r="AB18" s="110"/>
      <c r="AC18" s="109"/>
      <c r="AD18" s="110"/>
      <c r="AE18" s="109"/>
      <c r="AF18" s="110"/>
      <c r="AG18" s="109"/>
      <c r="AH18" s="110"/>
      <c r="AI18" s="109"/>
      <c r="AJ18" s="110"/>
      <c r="AK18" s="109"/>
      <c r="AL18" s="110"/>
      <c r="AM18" s="109"/>
      <c r="AN18" s="110"/>
      <c r="AO18" s="109"/>
      <c r="AP18" s="110"/>
      <c r="AQ18" s="109"/>
      <c r="AR18" s="110"/>
      <c r="AS18" s="109"/>
      <c r="AT18" s="110"/>
      <c r="AU18" s="109"/>
      <c r="AV18" s="110"/>
      <c r="AW18" s="109"/>
      <c r="AX18" s="110"/>
      <c r="AY18" s="109"/>
      <c r="AZ18" s="110"/>
      <c r="BA18" s="109"/>
      <c r="BB18" s="110"/>
      <c r="BC18" s="109"/>
      <c r="BD18" s="110"/>
      <c r="BE18" s="109"/>
      <c r="BF18" s="110"/>
      <c r="BG18" s="109"/>
      <c r="BH18" s="110"/>
      <c r="BI18" s="109"/>
    </row>
    <row r="19" spans="1:61" s="4" customFormat="1" x14ac:dyDescent="0.25">
      <c r="A19" s="103">
        <v>15</v>
      </c>
      <c r="B19" s="8" t="s">
        <v>40</v>
      </c>
      <c r="C19" s="8" t="s">
        <v>41</v>
      </c>
      <c r="D19" s="12">
        <f>SUM(F19:BI19)</f>
        <v>1</v>
      </c>
      <c r="E19" s="11" t="s">
        <v>10</v>
      </c>
      <c r="F19" s="6">
        <v>1</v>
      </c>
      <c r="G19" s="109"/>
      <c r="H19" s="110"/>
      <c r="I19" s="109"/>
      <c r="J19" s="110"/>
      <c r="K19" s="109"/>
      <c r="L19" s="110"/>
      <c r="M19" s="109"/>
      <c r="N19" s="110"/>
      <c r="O19" s="109"/>
      <c r="P19" s="110"/>
      <c r="Q19" s="109"/>
      <c r="R19" s="110"/>
      <c r="S19" s="109"/>
      <c r="T19" s="110"/>
      <c r="U19" s="109"/>
      <c r="V19" s="110"/>
      <c r="W19" s="109"/>
      <c r="X19" s="110"/>
      <c r="Y19" s="109"/>
      <c r="Z19" s="110"/>
      <c r="AA19" s="109"/>
      <c r="AB19" s="110"/>
      <c r="AC19" s="109"/>
      <c r="AD19" s="110"/>
      <c r="AE19" s="109"/>
      <c r="AF19" s="110"/>
      <c r="AG19" s="109"/>
      <c r="AH19" s="110"/>
      <c r="AI19" s="109"/>
      <c r="AJ19" s="110"/>
      <c r="AK19" s="109"/>
      <c r="AL19" s="110"/>
      <c r="AM19" s="109"/>
      <c r="AN19" s="110"/>
      <c r="AO19" s="109"/>
      <c r="AP19" s="110"/>
      <c r="AQ19" s="109"/>
      <c r="AR19" s="110"/>
      <c r="AS19" s="109"/>
      <c r="AT19" s="110"/>
      <c r="AU19" s="109"/>
      <c r="AV19" s="110"/>
      <c r="AW19" s="109"/>
      <c r="AX19" s="110"/>
      <c r="AY19" s="109"/>
      <c r="AZ19" s="110"/>
      <c r="BA19" s="109"/>
      <c r="BB19" s="110"/>
      <c r="BC19" s="109"/>
      <c r="BD19" s="110"/>
      <c r="BE19" s="109"/>
      <c r="BF19" s="110"/>
      <c r="BG19" s="109"/>
      <c r="BH19" s="110"/>
      <c r="BI19" s="109"/>
    </row>
    <row r="20" spans="1:61" s="4" customFormat="1" x14ac:dyDescent="0.25">
      <c r="A20" s="103">
        <v>16</v>
      </c>
      <c r="B20" s="8" t="s">
        <v>42</v>
      </c>
      <c r="C20" s="8" t="s">
        <v>41</v>
      </c>
      <c r="D20" s="12">
        <f>SUM(F20:BI20)</f>
        <v>1</v>
      </c>
      <c r="E20" s="11" t="s">
        <v>10</v>
      </c>
      <c r="F20" s="6">
        <v>1</v>
      </c>
      <c r="G20" s="109"/>
      <c r="H20" s="110"/>
      <c r="I20" s="109"/>
      <c r="J20" s="110"/>
      <c r="K20" s="109"/>
      <c r="L20" s="110"/>
      <c r="M20" s="109"/>
      <c r="N20" s="110"/>
      <c r="O20" s="109"/>
      <c r="P20" s="110"/>
      <c r="Q20" s="109"/>
      <c r="R20" s="110"/>
      <c r="S20" s="109"/>
      <c r="T20" s="110"/>
      <c r="U20" s="109"/>
      <c r="V20" s="110"/>
      <c r="W20" s="109"/>
      <c r="X20" s="110"/>
      <c r="Y20" s="109"/>
      <c r="Z20" s="110"/>
      <c r="AA20" s="109"/>
      <c r="AB20" s="110"/>
      <c r="AC20" s="109"/>
      <c r="AD20" s="110"/>
      <c r="AE20" s="109"/>
      <c r="AF20" s="110"/>
      <c r="AG20" s="109"/>
      <c r="AH20" s="110"/>
      <c r="AI20" s="109"/>
      <c r="AJ20" s="110"/>
      <c r="AK20" s="109"/>
      <c r="AL20" s="110"/>
      <c r="AM20" s="109"/>
      <c r="AN20" s="110"/>
      <c r="AO20" s="109"/>
      <c r="AP20" s="110"/>
      <c r="AQ20" s="109"/>
      <c r="AR20" s="110"/>
      <c r="AS20" s="109"/>
      <c r="AT20" s="110"/>
      <c r="AU20" s="109"/>
      <c r="AV20" s="110"/>
      <c r="AW20" s="109"/>
      <c r="AX20" s="110"/>
      <c r="AY20" s="109"/>
      <c r="AZ20" s="110"/>
      <c r="BA20" s="109"/>
      <c r="BB20" s="110"/>
      <c r="BC20" s="109"/>
      <c r="BD20" s="110"/>
      <c r="BE20" s="109"/>
      <c r="BF20" s="110"/>
      <c r="BG20" s="109"/>
      <c r="BH20" s="110"/>
      <c r="BI20" s="109"/>
    </row>
    <row r="21" spans="1:61" s="4" customFormat="1" x14ac:dyDescent="0.25">
      <c r="A21" s="103">
        <v>17</v>
      </c>
      <c r="B21" s="8" t="s">
        <v>43</v>
      </c>
      <c r="C21" s="8" t="s">
        <v>44</v>
      </c>
      <c r="D21" s="13">
        <f>SUM(F21:BI21)</f>
        <v>97.156249999999986</v>
      </c>
      <c r="E21" s="5" t="s">
        <v>13</v>
      </c>
      <c r="F21" s="7">
        <v>96.509027777777774</v>
      </c>
      <c r="G21" s="112">
        <v>8.6805555555555552E-2</v>
      </c>
      <c r="H21" s="113">
        <v>6.0416666666666667E-2</v>
      </c>
      <c r="I21" s="112">
        <v>7.013888888888889E-2</v>
      </c>
      <c r="J21" s="113">
        <v>0.10486111111111111</v>
      </c>
      <c r="K21" s="112">
        <v>2.361111111111111E-2</v>
      </c>
      <c r="L21" s="113">
        <v>2.8472222222222222E-2</v>
      </c>
      <c r="M21" s="112">
        <v>0.10972222222222222</v>
      </c>
      <c r="N21" s="113">
        <v>0.16319444444444445</v>
      </c>
      <c r="O21" s="112"/>
      <c r="P21" s="113"/>
      <c r="Q21" s="112"/>
      <c r="R21" s="113"/>
      <c r="S21" s="112"/>
      <c r="T21" s="113"/>
      <c r="U21" s="112"/>
      <c r="V21" s="113"/>
      <c r="W21" s="112"/>
      <c r="X21" s="113"/>
      <c r="Y21" s="112"/>
      <c r="Z21" s="113"/>
      <c r="AA21" s="112"/>
      <c r="AB21" s="113"/>
      <c r="AC21" s="112"/>
      <c r="AD21" s="113"/>
      <c r="AE21" s="112"/>
      <c r="AF21" s="113"/>
      <c r="AG21" s="112"/>
      <c r="AH21" s="113"/>
      <c r="AI21" s="112"/>
      <c r="AJ21" s="113"/>
      <c r="AK21" s="112"/>
      <c r="AL21" s="113"/>
      <c r="AM21" s="112"/>
      <c r="AN21" s="113"/>
      <c r="AO21" s="112"/>
      <c r="AP21" s="113"/>
      <c r="AQ21" s="112"/>
      <c r="AR21" s="113"/>
      <c r="AS21" s="112"/>
      <c r="AT21" s="113"/>
      <c r="AU21" s="112"/>
      <c r="AV21" s="113"/>
      <c r="AW21" s="112"/>
      <c r="AX21" s="113"/>
      <c r="AY21" s="112"/>
      <c r="AZ21" s="113"/>
      <c r="BA21" s="112"/>
      <c r="BB21" s="113"/>
      <c r="BC21" s="112"/>
      <c r="BD21" s="113"/>
      <c r="BE21" s="112"/>
      <c r="BF21" s="113"/>
      <c r="BG21" s="112"/>
      <c r="BH21" s="113"/>
      <c r="BI21" s="112"/>
    </row>
    <row r="22" spans="1:61" s="4" customFormat="1" x14ac:dyDescent="0.25">
      <c r="A22" s="103">
        <v>18</v>
      </c>
      <c r="B22" s="8" t="s">
        <v>45</v>
      </c>
      <c r="C22" s="8" t="s">
        <v>46</v>
      </c>
      <c r="D22" s="12">
        <f>SUM(F22:BI22)</f>
        <v>1082</v>
      </c>
      <c r="E22" s="11" t="s">
        <v>10</v>
      </c>
      <c r="F22" s="6">
        <v>1074</v>
      </c>
      <c r="G22" s="109">
        <v>1</v>
      </c>
      <c r="H22" s="110">
        <v>1</v>
      </c>
      <c r="I22" s="109">
        <v>1</v>
      </c>
      <c r="J22" s="110">
        <v>1</v>
      </c>
      <c r="K22" s="109">
        <v>1</v>
      </c>
      <c r="L22" s="110">
        <v>1</v>
      </c>
      <c r="M22" s="109">
        <v>1</v>
      </c>
      <c r="N22" s="110">
        <v>1</v>
      </c>
      <c r="O22" s="109"/>
      <c r="P22" s="110"/>
      <c r="Q22" s="109"/>
      <c r="R22" s="110"/>
      <c r="S22" s="109"/>
      <c r="T22" s="110"/>
      <c r="U22" s="109"/>
      <c r="V22" s="110"/>
      <c r="W22" s="109"/>
      <c r="X22" s="110"/>
      <c r="Y22" s="109"/>
      <c r="Z22" s="110"/>
      <c r="AA22" s="109"/>
      <c r="AB22" s="110"/>
      <c r="AC22" s="109"/>
      <c r="AD22" s="110"/>
      <c r="AE22" s="109"/>
      <c r="AF22" s="110"/>
      <c r="AG22" s="109"/>
      <c r="AH22" s="110"/>
      <c r="AI22" s="109"/>
      <c r="AJ22" s="110"/>
      <c r="AK22" s="109"/>
      <c r="AL22" s="110"/>
      <c r="AM22" s="109"/>
      <c r="AN22" s="110"/>
      <c r="AO22" s="109"/>
      <c r="AP22" s="110"/>
      <c r="AQ22" s="109"/>
      <c r="AR22" s="110"/>
      <c r="AS22" s="109"/>
      <c r="AT22" s="110"/>
      <c r="AU22" s="109"/>
      <c r="AV22" s="110"/>
      <c r="AW22" s="109"/>
      <c r="AX22" s="110"/>
      <c r="AY22" s="109"/>
      <c r="AZ22" s="110"/>
      <c r="BA22" s="109"/>
      <c r="BB22" s="110"/>
      <c r="BC22" s="109"/>
      <c r="BD22" s="110"/>
      <c r="BE22" s="109"/>
      <c r="BF22" s="110"/>
      <c r="BG22" s="109"/>
      <c r="BH22" s="110"/>
      <c r="BI22" s="109"/>
    </row>
    <row r="23" spans="1:61" s="4" customFormat="1" x14ac:dyDescent="0.25">
      <c r="A23" s="103">
        <v>19</v>
      </c>
      <c r="B23" s="8" t="s">
        <v>47</v>
      </c>
      <c r="C23" s="8" t="s">
        <v>48</v>
      </c>
      <c r="D23" s="12">
        <f>SUM(F23:BI23)</f>
        <v>918.88</v>
      </c>
      <c r="E23" s="11" t="s">
        <v>10</v>
      </c>
      <c r="F23" s="6">
        <v>915.8</v>
      </c>
      <c r="G23" s="109">
        <v>0.35</v>
      </c>
      <c r="H23" s="110">
        <v>0.4</v>
      </c>
      <c r="I23" s="109">
        <v>0.44</v>
      </c>
      <c r="J23" s="110">
        <v>0.33</v>
      </c>
      <c r="K23" s="109">
        <v>0.31</v>
      </c>
      <c r="L23" s="110">
        <v>0.37</v>
      </c>
      <c r="M23" s="109">
        <v>0.4</v>
      </c>
      <c r="N23" s="110">
        <v>0.48</v>
      </c>
      <c r="O23" s="109"/>
      <c r="P23" s="110"/>
      <c r="Q23" s="109"/>
      <c r="R23" s="110"/>
      <c r="S23" s="109"/>
      <c r="T23" s="110"/>
      <c r="U23" s="109"/>
      <c r="V23" s="110"/>
      <c r="W23" s="109"/>
      <c r="X23" s="110"/>
      <c r="Y23" s="109"/>
      <c r="Z23" s="110"/>
      <c r="AA23" s="109"/>
      <c r="AB23" s="110"/>
      <c r="AC23" s="109"/>
      <c r="AD23" s="110"/>
      <c r="AE23" s="109"/>
      <c r="AF23" s="110"/>
      <c r="AG23" s="109"/>
      <c r="AH23" s="110"/>
      <c r="AI23" s="109"/>
      <c r="AJ23" s="110"/>
      <c r="AK23" s="109"/>
      <c r="AL23" s="110"/>
      <c r="AM23" s="109"/>
      <c r="AN23" s="110"/>
      <c r="AO23" s="109"/>
      <c r="AP23" s="110"/>
      <c r="AQ23" s="109"/>
      <c r="AR23" s="110"/>
      <c r="AS23" s="109"/>
      <c r="AT23" s="110"/>
      <c r="AU23" s="109"/>
      <c r="AV23" s="110"/>
      <c r="AW23" s="109"/>
      <c r="AX23" s="110"/>
      <c r="AY23" s="109"/>
      <c r="AZ23" s="110"/>
      <c r="BA23" s="109"/>
      <c r="BB23" s="110"/>
      <c r="BC23" s="109"/>
      <c r="BD23" s="110"/>
      <c r="BE23" s="109"/>
      <c r="BF23" s="110"/>
      <c r="BG23" s="109"/>
      <c r="BH23" s="110"/>
      <c r="BI23" s="109"/>
    </row>
    <row r="24" spans="1:61" s="4" customFormat="1" x14ac:dyDescent="0.25">
      <c r="A24" s="103">
        <v>20</v>
      </c>
      <c r="B24" s="8" t="s">
        <v>49</v>
      </c>
      <c r="C24" s="8" t="s">
        <v>50</v>
      </c>
      <c r="D24" s="12">
        <f>SUM(F24:BI24)</f>
        <v>3503</v>
      </c>
      <c r="E24" s="11" t="s">
        <v>10</v>
      </c>
      <c r="F24" s="6">
        <v>3485</v>
      </c>
      <c r="G24" s="109">
        <v>2</v>
      </c>
      <c r="H24" s="110">
        <v>1</v>
      </c>
      <c r="I24" s="109">
        <v>2</v>
      </c>
      <c r="J24" s="110">
        <v>2</v>
      </c>
      <c r="K24" s="109">
        <v>1</v>
      </c>
      <c r="L24" s="110">
        <v>1</v>
      </c>
      <c r="M24" s="109">
        <v>4</v>
      </c>
      <c r="N24" s="110">
        <v>5</v>
      </c>
      <c r="O24" s="109"/>
      <c r="P24" s="110"/>
      <c r="Q24" s="109"/>
      <c r="R24" s="110"/>
      <c r="S24" s="109"/>
      <c r="T24" s="110"/>
      <c r="U24" s="109"/>
      <c r="V24" s="110"/>
      <c r="W24" s="109"/>
      <c r="X24" s="110"/>
      <c r="Y24" s="109"/>
      <c r="Z24" s="110"/>
      <c r="AA24" s="109"/>
      <c r="AB24" s="110"/>
      <c r="AC24" s="109"/>
      <c r="AD24" s="110"/>
      <c r="AE24" s="109"/>
      <c r="AF24" s="110"/>
      <c r="AG24" s="109"/>
      <c r="AH24" s="110"/>
      <c r="AI24" s="109"/>
      <c r="AJ24" s="110"/>
      <c r="AK24" s="109"/>
      <c r="AL24" s="110"/>
      <c r="AM24" s="109"/>
      <c r="AN24" s="110"/>
      <c r="AO24" s="109"/>
      <c r="AP24" s="110"/>
      <c r="AQ24" s="109"/>
      <c r="AR24" s="110"/>
      <c r="AS24" s="109"/>
      <c r="AT24" s="110"/>
      <c r="AU24" s="109"/>
      <c r="AV24" s="110"/>
      <c r="AW24" s="109"/>
      <c r="AX24" s="110"/>
      <c r="AY24" s="109"/>
      <c r="AZ24" s="110"/>
      <c r="BA24" s="109"/>
      <c r="BB24" s="110"/>
      <c r="BC24" s="109"/>
      <c r="BD24" s="110"/>
      <c r="BE24" s="109"/>
      <c r="BF24" s="110"/>
      <c r="BG24" s="109"/>
      <c r="BH24" s="110"/>
      <c r="BI24" s="109"/>
    </row>
    <row r="25" spans="1:61" s="4" customFormat="1" x14ac:dyDescent="0.25">
      <c r="A25" s="103">
        <v>21</v>
      </c>
      <c r="B25" s="8" t="s">
        <v>51</v>
      </c>
      <c r="C25" s="8" t="s">
        <v>52</v>
      </c>
      <c r="D25" s="12">
        <f>SUM(F25:BI25)</f>
        <v>3610</v>
      </c>
      <c r="E25" s="11" t="s">
        <v>10</v>
      </c>
      <c r="F25" s="6">
        <v>3592</v>
      </c>
      <c r="G25" s="109">
        <v>2</v>
      </c>
      <c r="H25" s="110">
        <v>1</v>
      </c>
      <c r="I25" s="109">
        <v>2</v>
      </c>
      <c r="J25" s="110">
        <v>2</v>
      </c>
      <c r="K25" s="109">
        <v>1</v>
      </c>
      <c r="L25" s="110">
        <v>1</v>
      </c>
      <c r="M25" s="109">
        <v>4</v>
      </c>
      <c r="N25" s="110">
        <v>5</v>
      </c>
      <c r="O25" s="109"/>
      <c r="P25" s="110"/>
      <c r="Q25" s="109"/>
      <c r="R25" s="110"/>
      <c r="S25" s="109"/>
      <c r="T25" s="110"/>
      <c r="U25" s="109"/>
      <c r="V25" s="110"/>
      <c r="W25" s="109"/>
      <c r="X25" s="110"/>
      <c r="Y25" s="109"/>
      <c r="Z25" s="110"/>
      <c r="AA25" s="109"/>
      <c r="AB25" s="110"/>
      <c r="AC25" s="109"/>
      <c r="AD25" s="110"/>
      <c r="AE25" s="109"/>
      <c r="AF25" s="110"/>
      <c r="AG25" s="109"/>
      <c r="AH25" s="110"/>
      <c r="AI25" s="109"/>
      <c r="AJ25" s="110"/>
      <c r="AK25" s="109"/>
      <c r="AL25" s="110"/>
      <c r="AM25" s="109"/>
      <c r="AN25" s="110"/>
      <c r="AO25" s="109"/>
      <c r="AP25" s="110"/>
      <c r="AQ25" s="109"/>
      <c r="AR25" s="110"/>
      <c r="AS25" s="109"/>
      <c r="AT25" s="110"/>
      <c r="AU25" s="109"/>
      <c r="AV25" s="110"/>
      <c r="AW25" s="109"/>
      <c r="AX25" s="110"/>
      <c r="AY25" s="109"/>
      <c r="AZ25" s="110"/>
      <c r="BA25" s="109"/>
      <c r="BB25" s="110"/>
      <c r="BC25" s="109"/>
      <c r="BD25" s="110"/>
      <c r="BE25" s="109"/>
      <c r="BF25" s="110"/>
      <c r="BG25" s="109"/>
      <c r="BH25" s="110"/>
      <c r="BI25" s="109"/>
    </row>
    <row r="26" spans="1:61" s="4" customFormat="1" x14ac:dyDescent="0.25">
      <c r="A26" s="103">
        <v>22</v>
      </c>
      <c r="B26" s="8" t="s">
        <v>53</v>
      </c>
      <c r="C26" s="8" t="s">
        <v>54</v>
      </c>
      <c r="D26" s="12">
        <f>SUM(F26:BI26)</f>
        <v>0</v>
      </c>
      <c r="E26" s="11" t="s">
        <v>10</v>
      </c>
      <c r="F26" s="6">
        <v>0</v>
      </c>
      <c r="G26" s="109"/>
      <c r="H26" s="110"/>
      <c r="I26" s="109"/>
      <c r="J26" s="110"/>
      <c r="K26" s="109"/>
      <c r="L26" s="110"/>
      <c r="M26" s="109"/>
      <c r="N26" s="110"/>
      <c r="O26" s="109"/>
      <c r="P26" s="110"/>
      <c r="Q26" s="109"/>
      <c r="R26" s="110"/>
      <c r="S26" s="109"/>
      <c r="T26" s="110"/>
      <c r="U26" s="109"/>
      <c r="V26" s="110"/>
      <c r="W26" s="109"/>
      <c r="X26" s="110"/>
      <c r="Y26" s="109"/>
      <c r="Z26" s="110"/>
      <c r="AA26" s="109"/>
      <c r="AB26" s="110"/>
      <c r="AC26" s="109"/>
      <c r="AD26" s="110"/>
      <c r="AE26" s="109"/>
      <c r="AF26" s="110"/>
      <c r="AG26" s="109"/>
      <c r="AH26" s="110"/>
      <c r="AI26" s="109"/>
      <c r="AJ26" s="110"/>
      <c r="AK26" s="109"/>
      <c r="AL26" s="110"/>
      <c r="AM26" s="109"/>
      <c r="AN26" s="110"/>
      <c r="AO26" s="109"/>
      <c r="AP26" s="110"/>
      <c r="AQ26" s="109"/>
      <c r="AR26" s="110"/>
      <c r="AS26" s="109"/>
      <c r="AT26" s="110"/>
      <c r="AU26" s="109"/>
      <c r="AV26" s="110"/>
      <c r="AW26" s="109"/>
      <c r="AX26" s="110"/>
      <c r="AY26" s="109"/>
      <c r="AZ26" s="110"/>
      <c r="BA26" s="109"/>
      <c r="BB26" s="110"/>
      <c r="BC26" s="109"/>
      <c r="BD26" s="110"/>
      <c r="BE26" s="109"/>
      <c r="BF26" s="110"/>
      <c r="BG26" s="109"/>
      <c r="BH26" s="110"/>
      <c r="BI26" s="109"/>
    </row>
    <row r="27" spans="1:61" s="4" customFormat="1" x14ac:dyDescent="0.25">
      <c r="A27" s="103">
        <v>23</v>
      </c>
      <c r="B27" s="8" t="s">
        <v>55</v>
      </c>
      <c r="C27" s="8" t="s">
        <v>54</v>
      </c>
      <c r="D27" s="12">
        <f>SUM(F27:BI27)</f>
        <v>3.36</v>
      </c>
      <c r="E27" s="11" t="s">
        <v>10</v>
      </c>
      <c r="F27" s="6">
        <v>3.36</v>
      </c>
      <c r="G27" s="109"/>
      <c r="H27" s="110"/>
      <c r="I27" s="109"/>
      <c r="J27" s="110"/>
      <c r="K27" s="109"/>
      <c r="L27" s="110"/>
      <c r="M27" s="109"/>
      <c r="N27" s="110"/>
      <c r="O27" s="109"/>
      <c r="P27" s="110"/>
      <c r="Q27" s="109"/>
      <c r="R27" s="110"/>
      <c r="S27" s="109"/>
      <c r="T27" s="110"/>
      <c r="U27" s="109"/>
      <c r="V27" s="110"/>
      <c r="W27" s="109"/>
      <c r="X27" s="110"/>
      <c r="Y27" s="109"/>
      <c r="Z27" s="110"/>
      <c r="AA27" s="109"/>
      <c r="AB27" s="110"/>
      <c r="AC27" s="109"/>
      <c r="AD27" s="110"/>
      <c r="AE27" s="109"/>
      <c r="AF27" s="110"/>
      <c r="AG27" s="109"/>
      <c r="AH27" s="110"/>
      <c r="AI27" s="109"/>
      <c r="AJ27" s="110"/>
      <c r="AK27" s="109"/>
      <c r="AL27" s="110"/>
      <c r="AM27" s="109"/>
      <c r="AN27" s="110"/>
      <c r="AO27" s="109"/>
      <c r="AP27" s="110"/>
      <c r="AQ27" s="109"/>
      <c r="AR27" s="110"/>
      <c r="AS27" s="109"/>
      <c r="AT27" s="110"/>
      <c r="AU27" s="109"/>
      <c r="AV27" s="110"/>
      <c r="AW27" s="109"/>
      <c r="AX27" s="110"/>
      <c r="AY27" s="109"/>
      <c r="AZ27" s="110"/>
      <c r="BA27" s="109"/>
      <c r="BB27" s="110"/>
      <c r="BC27" s="109"/>
      <c r="BD27" s="110"/>
      <c r="BE27" s="109"/>
      <c r="BF27" s="110"/>
      <c r="BG27" s="109"/>
      <c r="BH27" s="110"/>
      <c r="BI27" s="109"/>
    </row>
    <row r="28" spans="1:61" s="4" customFormat="1" x14ac:dyDescent="0.25">
      <c r="A28" s="103">
        <v>24</v>
      </c>
      <c r="B28" s="8" t="s">
        <v>56</v>
      </c>
      <c r="C28" s="8" t="s">
        <v>44</v>
      </c>
      <c r="D28" s="13">
        <f>SUM(F28:BI28)</f>
        <v>98.35208333333334</v>
      </c>
      <c r="E28" s="5" t="s">
        <v>13</v>
      </c>
      <c r="F28" s="7">
        <v>97.787499999999994</v>
      </c>
      <c r="G28" s="112">
        <v>6.6666666666666666E-2</v>
      </c>
      <c r="H28" s="113">
        <v>5.486111111111111E-2</v>
      </c>
      <c r="I28" s="112">
        <v>6.5972222222222224E-2</v>
      </c>
      <c r="J28" s="113">
        <v>8.1944444444444445E-2</v>
      </c>
      <c r="K28" s="112">
        <v>1.3194444444444444E-2</v>
      </c>
      <c r="L28" s="113">
        <v>2.5000000000000001E-2</v>
      </c>
      <c r="M28" s="112">
        <v>0.10555555555555556</v>
      </c>
      <c r="N28" s="113">
        <v>0.15138888888888888</v>
      </c>
      <c r="O28" s="112"/>
      <c r="P28" s="113"/>
      <c r="Q28" s="112"/>
      <c r="R28" s="113"/>
      <c r="S28" s="112"/>
      <c r="T28" s="113"/>
      <c r="U28" s="112"/>
      <c r="V28" s="113"/>
      <c r="W28" s="112"/>
      <c r="X28" s="113"/>
      <c r="Y28" s="112"/>
      <c r="Z28" s="113"/>
      <c r="AA28" s="112"/>
      <c r="AB28" s="113"/>
      <c r="AC28" s="112"/>
      <c r="AD28" s="113"/>
      <c r="AE28" s="112"/>
      <c r="AF28" s="113"/>
      <c r="AG28" s="112"/>
      <c r="AH28" s="113"/>
      <c r="AI28" s="112"/>
      <c r="AJ28" s="113"/>
      <c r="AK28" s="112"/>
      <c r="AL28" s="113"/>
      <c r="AM28" s="112"/>
      <c r="AN28" s="113"/>
      <c r="AO28" s="112"/>
      <c r="AP28" s="113"/>
      <c r="AQ28" s="112"/>
      <c r="AR28" s="113"/>
      <c r="AS28" s="112"/>
      <c r="AT28" s="113"/>
      <c r="AU28" s="112"/>
      <c r="AV28" s="113"/>
      <c r="AW28" s="112"/>
      <c r="AX28" s="113"/>
      <c r="AY28" s="112"/>
      <c r="AZ28" s="113"/>
      <c r="BA28" s="112"/>
      <c r="BB28" s="113"/>
      <c r="BC28" s="112"/>
      <c r="BD28" s="113"/>
      <c r="BE28" s="112"/>
      <c r="BF28" s="113"/>
      <c r="BG28" s="112"/>
      <c r="BH28" s="113"/>
      <c r="BI28" s="112"/>
    </row>
    <row r="29" spans="1:61" s="4" customFormat="1" x14ac:dyDescent="0.25">
      <c r="A29" s="103">
        <v>25</v>
      </c>
      <c r="B29" s="8" t="s">
        <v>57</v>
      </c>
      <c r="C29" s="8" t="s">
        <v>46</v>
      </c>
      <c r="D29" s="12">
        <f>SUM(F29:BI29)</f>
        <v>1483</v>
      </c>
      <c r="E29" s="11" t="s">
        <v>10</v>
      </c>
      <c r="F29" s="6">
        <v>1473</v>
      </c>
      <c r="G29" s="109">
        <v>1</v>
      </c>
      <c r="H29" s="110">
        <v>1</v>
      </c>
      <c r="I29" s="109">
        <v>1</v>
      </c>
      <c r="J29" s="110">
        <v>2</v>
      </c>
      <c r="K29" s="109">
        <v>2</v>
      </c>
      <c r="L29" s="110">
        <v>1</v>
      </c>
      <c r="M29" s="109">
        <v>1</v>
      </c>
      <c r="N29" s="110">
        <v>1</v>
      </c>
      <c r="O29" s="109"/>
      <c r="P29" s="110"/>
      <c r="Q29" s="109"/>
      <c r="R29" s="110"/>
      <c r="S29" s="109"/>
      <c r="T29" s="110"/>
      <c r="U29" s="109"/>
      <c r="V29" s="110"/>
      <c r="W29" s="109"/>
      <c r="X29" s="110"/>
      <c r="Y29" s="109"/>
      <c r="Z29" s="110"/>
      <c r="AA29" s="109"/>
      <c r="AB29" s="110"/>
      <c r="AC29" s="109"/>
      <c r="AD29" s="110"/>
      <c r="AE29" s="109"/>
      <c r="AF29" s="110"/>
      <c r="AG29" s="109"/>
      <c r="AH29" s="110"/>
      <c r="AI29" s="109"/>
      <c r="AJ29" s="110"/>
      <c r="AK29" s="109"/>
      <c r="AL29" s="110"/>
      <c r="AM29" s="109"/>
      <c r="AN29" s="110"/>
      <c r="AO29" s="109"/>
      <c r="AP29" s="110"/>
      <c r="AQ29" s="109"/>
      <c r="AR29" s="110"/>
      <c r="AS29" s="109"/>
      <c r="AT29" s="110"/>
      <c r="AU29" s="109"/>
      <c r="AV29" s="110"/>
      <c r="AW29" s="109"/>
      <c r="AX29" s="110"/>
      <c r="AY29" s="109"/>
      <c r="AZ29" s="110"/>
      <c r="BA29" s="109"/>
      <c r="BB29" s="110"/>
      <c r="BC29" s="109"/>
      <c r="BD29" s="110"/>
      <c r="BE29" s="109"/>
      <c r="BF29" s="110"/>
      <c r="BG29" s="109"/>
      <c r="BH29" s="110"/>
      <c r="BI29" s="109"/>
    </row>
    <row r="30" spans="1:61" s="4" customFormat="1" x14ac:dyDescent="0.25">
      <c r="A30" s="103">
        <v>26</v>
      </c>
      <c r="B30" s="8" t="s">
        <v>58</v>
      </c>
      <c r="C30" s="8" t="s">
        <v>48</v>
      </c>
      <c r="D30" s="12">
        <f>SUM(F30:BI30)</f>
        <v>1592.9699999999998</v>
      </c>
      <c r="E30" s="11" t="s">
        <v>10</v>
      </c>
      <c r="F30" s="6">
        <v>1589.44</v>
      </c>
      <c r="G30" s="109">
        <v>0.35</v>
      </c>
      <c r="H30" s="110">
        <v>0.37</v>
      </c>
      <c r="I30" s="109">
        <v>0.4</v>
      </c>
      <c r="J30" s="110">
        <v>0.63</v>
      </c>
      <c r="K30" s="109">
        <v>0.62</v>
      </c>
      <c r="L30" s="110">
        <v>0.35</v>
      </c>
      <c r="M30" s="109">
        <v>0.37</v>
      </c>
      <c r="N30" s="110">
        <v>0.44</v>
      </c>
      <c r="O30" s="109"/>
      <c r="P30" s="110"/>
      <c r="Q30" s="109"/>
      <c r="R30" s="110"/>
      <c r="S30" s="109"/>
      <c r="T30" s="110"/>
      <c r="U30" s="109"/>
      <c r="V30" s="110"/>
      <c r="W30" s="109"/>
      <c r="X30" s="110"/>
      <c r="Y30" s="109"/>
      <c r="Z30" s="110"/>
      <c r="AA30" s="109"/>
      <c r="AB30" s="110"/>
      <c r="AC30" s="109"/>
      <c r="AD30" s="110"/>
      <c r="AE30" s="109"/>
      <c r="AF30" s="110"/>
      <c r="AG30" s="109"/>
      <c r="AH30" s="110"/>
      <c r="AI30" s="109"/>
      <c r="AJ30" s="110"/>
      <c r="AK30" s="109"/>
      <c r="AL30" s="110"/>
      <c r="AM30" s="109"/>
      <c r="AN30" s="110"/>
      <c r="AO30" s="109"/>
      <c r="AP30" s="110"/>
      <c r="AQ30" s="109"/>
      <c r="AR30" s="110"/>
      <c r="AS30" s="109"/>
      <c r="AT30" s="110"/>
      <c r="AU30" s="109"/>
      <c r="AV30" s="110"/>
      <c r="AW30" s="109"/>
      <c r="AX30" s="110"/>
      <c r="AY30" s="109"/>
      <c r="AZ30" s="110"/>
      <c r="BA30" s="109"/>
      <c r="BB30" s="110"/>
      <c r="BC30" s="109"/>
      <c r="BD30" s="110"/>
      <c r="BE30" s="109"/>
      <c r="BF30" s="110"/>
      <c r="BG30" s="109"/>
      <c r="BH30" s="110"/>
      <c r="BI30" s="109"/>
    </row>
    <row r="31" spans="1:61" s="4" customFormat="1" x14ac:dyDescent="0.25">
      <c r="A31" s="103">
        <v>27</v>
      </c>
      <c r="B31" s="8" t="s">
        <v>59</v>
      </c>
      <c r="C31" s="8" t="s">
        <v>50</v>
      </c>
      <c r="D31" s="12">
        <f>SUM(F31:BI31)</f>
        <v>2373</v>
      </c>
      <c r="E31" s="11" t="s">
        <v>10</v>
      </c>
      <c r="F31" s="6">
        <v>2353</v>
      </c>
      <c r="G31" s="109">
        <v>2</v>
      </c>
      <c r="H31" s="110">
        <v>1</v>
      </c>
      <c r="I31" s="109">
        <v>2</v>
      </c>
      <c r="J31" s="110">
        <v>3</v>
      </c>
      <c r="K31" s="109">
        <v>2</v>
      </c>
      <c r="L31" s="110">
        <v>1</v>
      </c>
      <c r="M31" s="109">
        <v>4</v>
      </c>
      <c r="N31" s="110">
        <v>5</v>
      </c>
      <c r="O31" s="109"/>
      <c r="P31" s="110"/>
      <c r="Q31" s="109"/>
      <c r="R31" s="110"/>
      <c r="S31" s="109"/>
      <c r="T31" s="110"/>
      <c r="U31" s="109"/>
      <c r="V31" s="110"/>
      <c r="W31" s="109"/>
      <c r="X31" s="110"/>
      <c r="Y31" s="109"/>
      <c r="Z31" s="110"/>
      <c r="AA31" s="109"/>
      <c r="AB31" s="110"/>
      <c r="AC31" s="109"/>
      <c r="AD31" s="110"/>
      <c r="AE31" s="109"/>
      <c r="AF31" s="110"/>
      <c r="AG31" s="109"/>
      <c r="AH31" s="110"/>
      <c r="AI31" s="109"/>
      <c r="AJ31" s="110"/>
      <c r="AK31" s="109"/>
      <c r="AL31" s="110"/>
      <c r="AM31" s="109"/>
      <c r="AN31" s="110"/>
      <c r="AO31" s="109"/>
      <c r="AP31" s="110"/>
      <c r="AQ31" s="109"/>
      <c r="AR31" s="110"/>
      <c r="AS31" s="109"/>
      <c r="AT31" s="110"/>
      <c r="AU31" s="109"/>
      <c r="AV31" s="110"/>
      <c r="AW31" s="109"/>
      <c r="AX31" s="110"/>
      <c r="AY31" s="109"/>
      <c r="AZ31" s="110"/>
      <c r="BA31" s="109"/>
      <c r="BB31" s="110"/>
      <c r="BC31" s="109"/>
      <c r="BD31" s="110"/>
      <c r="BE31" s="109"/>
      <c r="BF31" s="110"/>
      <c r="BG31" s="109"/>
      <c r="BH31" s="110"/>
      <c r="BI31" s="109"/>
    </row>
    <row r="32" spans="1:61" s="4" customFormat="1" x14ac:dyDescent="0.25">
      <c r="A32" s="103">
        <v>28</v>
      </c>
      <c r="B32" s="8" t="s">
        <v>60</v>
      </c>
      <c r="C32" s="8" t="s">
        <v>61</v>
      </c>
      <c r="D32" s="12">
        <f>SUM(F32:BI32)</f>
        <v>2931.5</v>
      </c>
      <c r="E32" s="11" t="s">
        <v>10</v>
      </c>
      <c r="F32" s="6">
        <v>2911.5</v>
      </c>
      <c r="G32" s="109">
        <v>2</v>
      </c>
      <c r="H32" s="110">
        <v>1</v>
      </c>
      <c r="I32" s="109">
        <v>2</v>
      </c>
      <c r="J32" s="110">
        <v>3</v>
      </c>
      <c r="K32" s="109">
        <v>2</v>
      </c>
      <c r="L32" s="110">
        <v>1</v>
      </c>
      <c r="M32" s="109">
        <v>4</v>
      </c>
      <c r="N32" s="110">
        <v>5</v>
      </c>
      <c r="O32" s="109"/>
      <c r="P32" s="110"/>
      <c r="Q32" s="109"/>
      <c r="R32" s="110"/>
      <c r="S32" s="109"/>
      <c r="T32" s="110"/>
      <c r="U32" s="109"/>
      <c r="V32" s="110"/>
      <c r="W32" s="109"/>
      <c r="X32" s="110"/>
      <c r="Y32" s="109"/>
      <c r="Z32" s="110"/>
      <c r="AA32" s="109"/>
      <c r="AB32" s="110"/>
      <c r="AC32" s="109"/>
      <c r="AD32" s="110"/>
      <c r="AE32" s="109"/>
      <c r="AF32" s="110"/>
      <c r="AG32" s="109"/>
      <c r="AH32" s="110"/>
      <c r="AI32" s="109"/>
      <c r="AJ32" s="110"/>
      <c r="AK32" s="109"/>
      <c r="AL32" s="110"/>
      <c r="AM32" s="109"/>
      <c r="AN32" s="110"/>
      <c r="AO32" s="109"/>
      <c r="AP32" s="110"/>
      <c r="AQ32" s="109"/>
      <c r="AR32" s="110"/>
      <c r="AS32" s="109"/>
      <c r="AT32" s="110"/>
      <c r="AU32" s="109"/>
      <c r="AV32" s="110"/>
      <c r="AW32" s="109"/>
      <c r="AX32" s="110"/>
      <c r="AY32" s="109"/>
      <c r="AZ32" s="110"/>
      <c r="BA32" s="109"/>
      <c r="BB32" s="110"/>
      <c r="BC32" s="109"/>
      <c r="BD32" s="110"/>
      <c r="BE32" s="109"/>
      <c r="BF32" s="110"/>
      <c r="BG32" s="109"/>
      <c r="BH32" s="110"/>
      <c r="BI32" s="109"/>
    </row>
    <row r="33" spans="1:61" s="4" customFormat="1" x14ac:dyDescent="0.25">
      <c r="A33" s="103">
        <v>29</v>
      </c>
      <c r="B33" s="8" t="s">
        <v>62</v>
      </c>
      <c r="C33" s="8" t="s">
        <v>63</v>
      </c>
      <c r="D33" s="12">
        <f>SUM(F33:BI33)</f>
        <v>0</v>
      </c>
      <c r="E33" s="11" t="s">
        <v>10</v>
      </c>
      <c r="F33" s="6">
        <v>0</v>
      </c>
      <c r="G33" s="109"/>
      <c r="H33" s="110"/>
      <c r="I33" s="109"/>
      <c r="J33" s="110"/>
      <c r="K33" s="109"/>
      <c r="L33" s="110"/>
      <c r="M33" s="109"/>
      <c r="N33" s="110"/>
      <c r="O33" s="109"/>
      <c r="P33" s="110"/>
      <c r="Q33" s="109"/>
      <c r="R33" s="110"/>
      <c r="S33" s="109"/>
      <c r="T33" s="110"/>
      <c r="U33" s="109"/>
      <c r="V33" s="110"/>
      <c r="W33" s="109"/>
      <c r="X33" s="110"/>
      <c r="Y33" s="109"/>
      <c r="Z33" s="110"/>
      <c r="AA33" s="109"/>
      <c r="AB33" s="110"/>
      <c r="AC33" s="109"/>
      <c r="AD33" s="110"/>
      <c r="AE33" s="109"/>
      <c r="AF33" s="110"/>
      <c r="AG33" s="109"/>
      <c r="AH33" s="110"/>
      <c r="AI33" s="109"/>
      <c r="AJ33" s="110"/>
      <c r="AK33" s="109"/>
      <c r="AL33" s="110"/>
      <c r="AM33" s="109"/>
      <c r="AN33" s="110"/>
      <c r="AO33" s="109"/>
      <c r="AP33" s="110"/>
      <c r="AQ33" s="109"/>
      <c r="AR33" s="110"/>
      <c r="AS33" s="109"/>
      <c r="AT33" s="110"/>
      <c r="AU33" s="109"/>
      <c r="AV33" s="110"/>
      <c r="AW33" s="109"/>
      <c r="AX33" s="110"/>
      <c r="AY33" s="109"/>
      <c r="AZ33" s="110"/>
      <c r="BA33" s="109"/>
      <c r="BB33" s="110"/>
      <c r="BC33" s="109"/>
      <c r="BD33" s="110"/>
      <c r="BE33" s="109"/>
      <c r="BF33" s="110"/>
      <c r="BG33" s="109"/>
      <c r="BH33" s="110"/>
      <c r="BI33" s="109"/>
    </row>
    <row r="34" spans="1:61" s="4" customFormat="1" x14ac:dyDescent="0.25">
      <c r="A34" s="103">
        <v>30</v>
      </c>
      <c r="B34" s="8" t="s">
        <v>64</v>
      </c>
      <c r="C34" s="8" t="s">
        <v>63</v>
      </c>
      <c r="D34" s="12">
        <f>SUM(F34:BI34)</f>
        <v>0</v>
      </c>
      <c r="E34" s="11" t="s">
        <v>10</v>
      </c>
      <c r="F34" s="6">
        <v>0</v>
      </c>
      <c r="G34" s="109"/>
      <c r="H34" s="110"/>
      <c r="I34" s="109"/>
      <c r="J34" s="110"/>
      <c r="K34" s="109"/>
      <c r="L34" s="110"/>
      <c r="M34" s="109"/>
      <c r="N34" s="110"/>
      <c r="O34" s="109"/>
      <c r="P34" s="110"/>
      <c r="Q34" s="109"/>
      <c r="R34" s="110"/>
      <c r="S34" s="109"/>
      <c r="T34" s="110"/>
      <c r="U34" s="109"/>
      <c r="V34" s="110"/>
      <c r="W34" s="109"/>
      <c r="X34" s="110"/>
      <c r="Y34" s="109"/>
      <c r="Z34" s="110"/>
      <c r="AA34" s="109"/>
      <c r="AB34" s="110"/>
      <c r="AC34" s="109"/>
      <c r="AD34" s="110"/>
      <c r="AE34" s="109"/>
      <c r="AF34" s="110"/>
      <c r="AG34" s="109"/>
      <c r="AH34" s="110"/>
      <c r="AI34" s="109"/>
      <c r="AJ34" s="110"/>
      <c r="AK34" s="109"/>
      <c r="AL34" s="110"/>
      <c r="AM34" s="109"/>
      <c r="AN34" s="110"/>
      <c r="AO34" s="109"/>
      <c r="AP34" s="110"/>
      <c r="AQ34" s="109"/>
      <c r="AR34" s="110"/>
      <c r="AS34" s="109"/>
      <c r="AT34" s="110"/>
      <c r="AU34" s="109"/>
      <c r="AV34" s="110"/>
      <c r="AW34" s="109"/>
      <c r="AX34" s="110"/>
      <c r="AY34" s="109"/>
      <c r="AZ34" s="110"/>
      <c r="BA34" s="109"/>
      <c r="BB34" s="110"/>
      <c r="BC34" s="109"/>
      <c r="BD34" s="110"/>
      <c r="BE34" s="109"/>
      <c r="BF34" s="110"/>
      <c r="BG34" s="109"/>
      <c r="BH34" s="110"/>
      <c r="BI34" s="109"/>
    </row>
    <row r="35" spans="1:61" s="4" customFormat="1" x14ac:dyDescent="0.25">
      <c r="A35" s="103">
        <v>31</v>
      </c>
      <c r="B35" s="8" t="s">
        <v>65</v>
      </c>
      <c r="C35" s="8" t="s">
        <v>66</v>
      </c>
      <c r="D35" s="12">
        <f>SUM(F35:BI35)</f>
        <v>24198</v>
      </c>
      <c r="E35" s="11" t="s">
        <v>10</v>
      </c>
      <c r="F35" s="6">
        <v>24198</v>
      </c>
      <c r="G35" s="109"/>
      <c r="H35" s="110"/>
      <c r="I35" s="109"/>
      <c r="J35" s="110"/>
      <c r="K35" s="109"/>
      <c r="L35" s="110"/>
      <c r="M35" s="109"/>
      <c r="N35" s="110"/>
      <c r="O35" s="109"/>
      <c r="P35" s="110"/>
      <c r="Q35" s="109"/>
      <c r="R35" s="110"/>
      <c r="S35" s="109"/>
      <c r="T35" s="110"/>
      <c r="U35" s="109"/>
      <c r="V35" s="110"/>
      <c r="W35" s="109"/>
      <c r="X35" s="110"/>
      <c r="Y35" s="109"/>
      <c r="Z35" s="110"/>
      <c r="AA35" s="109"/>
      <c r="AB35" s="110"/>
      <c r="AC35" s="109"/>
      <c r="AD35" s="110"/>
      <c r="AE35" s="109"/>
      <c r="AF35" s="110"/>
      <c r="AG35" s="109"/>
      <c r="AH35" s="110"/>
      <c r="AI35" s="109"/>
      <c r="AJ35" s="110"/>
      <c r="AK35" s="109"/>
      <c r="AL35" s="110"/>
      <c r="AM35" s="109"/>
      <c r="AN35" s="110"/>
      <c r="AO35" s="109"/>
      <c r="AP35" s="110"/>
      <c r="AQ35" s="109"/>
      <c r="AR35" s="110"/>
      <c r="AS35" s="109"/>
      <c r="AT35" s="110"/>
      <c r="AU35" s="109"/>
      <c r="AV35" s="110"/>
      <c r="AW35" s="109"/>
      <c r="AX35" s="110"/>
      <c r="AY35" s="109"/>
      <c r="AZ35" s="110"/>
      <c r="BA35" s="109"/>
      <c r="BB35" s="110"/>
      <c r="BC35" s="109"/>
      <c r="BD35" s="110"/>
      <c r="BE35" s="109"/>
      <c r="BF35" s="110"/>
      <c r="BG35" s="109"/>
      <c r="BH35" s="110"/>
      <c r="BI35" s="109"/>
    </row>
    <row r="36" spans="1:61" s="4" customFormat="1" x14ac:dyDescent="0.25">
      <c r="A36" s="103">
        <v>32</v>
      </c>
      <c r="B36" s="8" t="s">
        <v>67</v>
      </c>
      <c r="C36" s="8" t="s">
        <v>68</v>
      </c>
      <c r="D36" s="12">
        <f>SUM(F36:BI36)</f>
        <v>1800</v>
      </c>
      <c r="E36" s="11" t="s">
        <v>10</v>
      </c>
      <c r="F36" s="6">
        <v>1800</v>
      </c>
      <c r="G36" s="109"/>
      <c r="H36" s="110"/>
      <c r="I36" s="109"/>
      <c r="J36" s="110"/>
      <c r="K36" s="109"/>
      <c r="L36" s="110"/>
      <c r="M36" s="109"/>
      <c r="N36" s="110"/>
      <c r="O36" s="109"/>
      <c r="P36" s="110"/>
      <c r="Q36" s="109"/>
      <c r="R36" s="110"/>
      <c r="S36" s="109"/>
      <c r="T36" s="110"/>
      <c r="U36" s="109"/>
      <c r="V36" s="110"/>
      <c r="W36" s="109"/>
      <c r="X36" s="110"/>
      <c r="Y36" s="109"/>
      <c r="Z36" s="110"/>
      <c r="AA36" s="109"/>
      <c r="AB36" s="110"/>
      <c r="AC36" s="109"/>
      <c r="AD36" s="110"/>
      <c r="AE36" s="109"/>
      <c r="AF36" s="110"/>
      <c r="AG36" s="109"/>
      <c r="AH36" s="110"/>
      <c r="AI36" s="109"/>
      <c r="AJ36" s="110"/>
      <c r="AK36" s="109"/>
      <c r="AL36" s="110"/>
      <c r="AM36" s="109"/>
      <c r="AN36" s="110"/>
      <c r="AO36" s="109"/>
      <c r="AP36" s="110"/>
      <c r="AQ36" s="109"/>
      <c r="AR36" s="110"/>
      <c r="AS36" s="109"/>
      <c r="AT36" s="110"/>
      <c r="AU36" s="109"/>
      <c r="AV36" s="110"/>
      <c r="AW36" s="109"/>
      <c r="AX36" s="110"/>
      <c r="AY36" s="109"/>
      <c r="AZ36" s="110"/>
      <c r="BA36" s="109"/>
      <c r="BB36" s="110"/>
      <c r="BC36" s="109"/>
      <c r="BD36" s="110"/>
      <c r="BE36" s="109"/>
      <c r="BF36" s="110"/>
      <c r="BG36" s="109"/>
      <c r="BH36" s="110"/>
      <c r="BI36" s="109"/>
    </row>
    <row r="37" spans="1:61" s="4" customFormat="1" x14ac:dyDescent="0.25">
      <c r="A37" s="103">
        <v>33</v>
      </c>
      <c r="B37" s="8" t="s">
        <v>69</v>
      </c>
      <c r="C37" s="8" t="s">
        <v>70</v>
      </c>
      <c r="D37" s="12">
        <f>SUM(F37:BI37)</f>
        <v>0</v>
      </c>
      <c r="E37" s="11" t="s">
        <v>10</v>
      </c>
      <c r="F37" s="6">
        <v>0</v>
      </c>
      <c r="G37" s="109"/>
      <c r="H37" s="110"/>
      <c r="I37" s="109"/>
      <c r="J37" s="110"/>
      <c r="K37" s="109"/>
      <c r="L37" s="110"/>
      <c r="M37" s="109"/>
      <c r="N37" s="110"/>
      <c r="O37" s="109"/>
      <c r="P37" s="110"/>
      <c r="Q37" s="109"/>
      <c r="R37" s="110"/>
      <c r="S37" s="109"/>
      <c r="T37" s="110"/>
      <c r="U37" s="109"/>
      <c r="V37" s="110"/>
      <c r="W37" s="109"/>
      <c r="X37" s="110"/>
      <c r="Y37" s="109"/>
      <c r="Z37" s="110"/>
      <c r="AA37" s="109"/>
      <c r="AB37" s="110"/>
      <c r="AC37" s="109"/>
      <c r="AD37" s="110"/>
      <c r="AE37" s="109"/>
      <c r="AF37" s="110"/>
      <c r="AG37" s="109"/>
      <c r="AH37" s="110"/>
      <c r="AI37" s="109"/>
      <c r="AJ37" s="110"/>
      <c r="AK37" s="109"/>
      <c r="AL37" s="110"/>
      <c r="AM37" s="109"/>
      <c r="AN37" s="110"/>
      <c r="AO37" s="109"/>
      <c r="AP37" s="110"/>
      <c r="AQ37" s="109"/>
      <c r="AR37" s="110"/>
      <c r="AS37" s="109"/>
      <c r="AT37" s="110"/>
      <c r="AU37" s="109"/>
      <c r="AV37" s="110"/>
      <c r="AW37" s="109"/>
      <c r="AX37" s="110"/>
      <c r="AY37" s="109"/>
      <c r="AZ37" s="110"/>
      <c r="BA37" s="109"/>
      <c r="BB37" s="110"/>
      <c r="BC37" s="109"/>
      <c r="BD37" s="110"/>
      <c r="BE37" s="109"/>
      <c r="BF37" s="110"/>
      <c r="BG37" s="109"/>
      <c r="BH37" s="110"/>
      <c r="BI37" s="109"/>
    </row>
    <row r="38" spans="1:61" s="4" customFormat="1" x14ac:dyDescent="0.25">
      <c r="A38" s="103">
        <v>34</v>
      </c>
      <c r="B38" s="8" t="s">
        <v>71</v>
      </c>
      <c r="C38" s="8" t="s">
        <v>72</v>
      </c>
      <c r="D38" s="12">
        <f>SUM(F38:BI38)</f>
        <v>100</v>
      </c>
      <c r="E38" s="11" t="s">
        <v>10</v>
      </c>
      <c r="F38" s="6">
        <v>100</v>
      </c>
      <c r="G38" s="109"/>
      <c r="H38" s="110"/>
      <c r="I38" s="109"/>
      <c r="J38" s="110"/>
      <c r="K38" s="109"/>
      <c r="L38" s="110"/>
      <c r="M38" s="109"/>
      <c r="N38" s="110"/>
      <c r="O38" s="109"/>
      <c r="P38" s="110"/>
      <c r="Q38" s="109"/>
      <c r="R38" s="110"/>
      <c r="S38" s="109"/>
      <c r="T38" s="110"/>
      <c r="U38" s="109"/>
      <c r="V38" s="110"/>
      <c r="W38" s="109"/>
      <c r="X38" s="110"/>
      <c r="Y38" s="109"/>
      <c r="Z38" s="110"/>
      <c r="AA38" s="109"/>
      <c r="AB38" s="110"/>
      <c r="AC38" s="109"/>
      <c r="AD38" s="110"/>
      <c r="AE38" s="109"/>
      <c r="AF38" s="110"/>
      <c r="AG38" s="109"/>
      <c r="AH38" s="110"/>
      <c r="AI38" s="109"/>
      <c r="AJ38" s="110"/>
      <c r="AK38" s="109"/>
      <c r="AL38" s="110"/>
      <c r="AM38" s="109"/>
      <c r="AN38" s="110"/>
      <c r="AO38" s="109"/>
      <c r="AP38" s="110"/>
      <c r="AQ38" s="109"/>
      <c r="AR38" s="110"/>
      <c r="AS38" s="109"/>
      <c r="AT38" s="110"/>
      <c r="AU38" s="109"/>
      <c r="AV38" s="110"/>
      <c r="AW38" s="109"/>
      <c r="AX38" s="110"/>
      <c r="AY38" s="109"/>
      <c r="AZ38" s="110"/>
      <c r="BA38" s="109"/>
      <c r="BB38" s="110"/>
      <c r="BC38" s="109"/>
      <c r="BD38" s="110"/>
      <c r="BE38" s="109"/>
      <c r="BF38" s="110"/>
      <c r="BG38" s="109"/>
      <c r="BH38" s="110"/>
      <c r="BI38" s="109"/>
    </row>
    <row r="39" spans="1:61" s="4" customFormat="1" x14ac:dyDescent="0.25">
      <c r="A39" s="103">
        <v>35</v>
      </c>
      <c r="B39" s="8" t="s">
        <v>73</v>
      </c>
      <c r="C39" s="8" t="s">
        <v>74</v>
      </c>
      <c r="D39" s="13">
        <f>SUM(F39:BI39)</f>
        <v>2.7777777777777776E-2</v>
      </c>
      <c r="E39" s="5" t="s">
        <v>13</v>
      </c>
      <c r="F39" s="7">
        <v>2.7777777777777776E-2</v>
      </c>
      <c r="G39" s="112"/>
      <c r="H39" s="113"/>
      <c r="I39" s="112"/>
      <c r="J39" s="113"/>
      <c r="K39" s="112"/>
      <c r="L39" s="113"/>
      <c r="M39" s="112"/>
      <c r="N39" s="113"/>
      <c r="O39" s="112"/>
      <c r="P39" s="113"/>
      <c r="Q39" s="112"/>
      <c r="R39" s="113"/>
      <c r="S39" s="112"/>
      <c r="T39" s="113"/>
      <c r="U39" s="112"/>
      <c r="V39" s="113"/>
      <c r="W39" s="112"/>
      <c r="X39" s="113"/>
      <c r="Y39" s="112"/>
      <c r="Z39" s="113"/>
      <c r="AA39" s="112"/>
      <c r="AB39" s="113"/>
      <c r="AC39" s="112"/>
      <c r="AD39" s="113"/>
      <c r="AE39" s="112"/>
      <c r="AF39" s="113"/>
      <c r="AG39" s="112"/>
      <c r="AH39" s="113"/>
      <c r="AI39" s="112"/>
      <c r="AJ39" s="113"/>
      <c r="AK39" s="112"/>
      <c r="AL39" s="113"/>
      <c r="AM39" s="112"/>
      <c r="AN39" s="113"/>
      <c r="AO39" s="112"/>
      <c r="AP39" s="113"/>
      <c r="AQ39" s="112"/>
      <c r="AR39" s="113"/>
      <c r="AS39" s="112"/>
      <c r="AT39" s="113"/>
      <c r="AU39" s="112"/>
      <c r="AV39" s="113"/>
      <c r="AW39" s="112"/>
      <c r="AX39" s="113"/>
      <c r="AY39" s="112"/>
      <c r="AZ39" s="113"/>
      <c r="BA39" s="112"/>
      <c r="BB39" s="113"/>
      <c r="BC39" s="112"/>
      <c r="BD39" s="113"/>
      <c r="BE39" s="112"/>
      <c r="BF39" s="113"/>
      <c r="BG39" s="112"/>
      <c r="BH39" s="113"/>
      <c r="BI39" s="112"/>
    </row>
    <row r="40" spans="1:61" s="4" customFormat="1" x14ac:dyDescent="0.25">
      <c r="A40" s="103"/>
      <c r="B40" s="8" t="s">
        <v>75</v>
      </c>
      <c r="C40" s="8" t="s">
        <v>76</v>
      </c>
      <c r="D40" s="12">
        <f>SUM(F40:BI40)</f>
        <v>0</v>
      </c>
      <c r="E40" s="11" t="s">
        <v>10</v>
      </c>
      <c r="F40" s="6">
        <v>0</v>
      </c>
      <c r="G40" s="109"/>
      <c r="H40" s="110"/>
      <c r="I40" s="109"/>
      <c r="J40" s="110"/>
      <c r="K40" s="109"/>
      <c r="L40" s="110"/>
      <c r="M40" s="109"/>
      <c r="N40" s="110"/>
      <c r="O40" s="109"/>
      <c r="P40" s="110"/>
      <c r="Q40" s="109"/>
      <c r="R40" s="110"/>
      <c r="S40" s="109"/>
      <c r="T40" s="110"/>
      <c r="U40" s="109"/>
      <c r="V40" s="110"/>
      <c r="W40" s="109"/>
      <c r="X40" s="110"/>
      <c r="Y40" s="109"/>
      <c r="Z40" s="110"/>
      <c r="AA40" s="109"/>
      <c r="AB40" s="110"/>
      <c r="AC40" s="109"/>
      <c r="AD40" s="110"/>
      <c r="AE40" s="109"/>
      <c r="AF40" s="110"/>
      <c r="AG40" s="109"/>
      <c r="AH40" s="110"/>
      <c r="AI40" s="109"/>
      <c r="AJ40" s="110"/>
      <c r="AK40" s="109"/>
      <c r="AL40" s="110"/>
      <c r="AM40" s="109"/>
      <c r="AN40" s="110"/>
      <c r="AO40" s="109"/>
      <c r="AP40" s="110"/>
      <c r="AQ40" s="109"/>
      <c r="AR40" s="110"/>
      <c r="AS40" s="109"/>
      <c r="AT40" s="110"/>
      <c r="AU40" s="109"/>
      <c r="AV40" s="110"/>
      <c r="AW40" s="109"/>
      <c r="AX40" s="110"/>
      <c r="AY40" s="109"/>
      <c r="AZ40" s="110"/>
      <c r="BA40" s="109"/>
      <c r="BB40" s="110"/>
      <c r="BC40" s="109"/>
      <c r="BD40" s="110"/>
      <c r="BE40" s="109"/>
      <c r="BF40" s="110"/>
      <c r="BG40" s="109"/>
      <c r="BH40" s="110"/>
      <c r="BI40" s="109"/>
    </row>
    <row r="41" spans="1:61" s="4" customFormat="1" x14ac:dyDescent="0.25">
      <c r="A41" s="103"/>
      <c r="B41" s="8" t="s">
        <v>77</v>
      </c>
      <c r="C41" s="8" t="s">
        <v>78</v>
      </c>
      <c r="D41" s="12">
        <f>SUM(F41:BI41)</f>
        <v>0</v>
      </c>
      <c r="E41" s="11" t="s">
        <v>10</v>
      </c>
      <c r="F41" s="6">
        <v>0</v>
      </c>
      <c r="G41" s="109"/>
      <c r="H41" s="110"/>
      <c r="I41" s="109"/>
      <c r="J41" s="110"/>
      <c r="K41" s="109"/>
      <c r="L41" s="110"/>
      <c r="M41" s="109"/>
      <c r="N41" s="110"/>
      <c r="O41" s="109"/>
      <c r="P41" s="110"/>
      <c r="Q41" s="109"/>
      <c r="R41" s="110"/>
      <c r="S41" s="109"/>
      <c r="T41" s="110"/>
      <c r="U41" s="109"/>
      <c r="V41" s="110"/>
      <c r="W41" s="109"/>
      <c r="X41" s="110"/>
      <c r="Y41" s="109"/>
      <c r="Z41" s="110"/>
      <c r="AA41" s="109"/>
      <c r="AB41" s="110"/>
      <c r="AC41" s="109"/>
      <c r="AD41" s="110"/>
      <c r="AE41" s="109"/>
      <c r="AF41" s="110"/>
      <c r="AG41" s="109"/>
      <c r="AH41" s="110"/>
      <c r="AI41" s="109"/>
      <c r="AJ41" s="110"/>
      <c r="AK41" s="109"/>
      <c r="AL41" s="110"/>
      <c r="AM41" s="109"/>
      <c r="AN41" s="110"/>
      <c r="AO41" s="109"/>
      <c r="AP41" s="110"/>
      <c r="AQ41" s="109"/>
      <c r="AR41" s="110"/>
      <c r="AS41" s="109"/>
      <c r="AT41" s="110"/>
      <c r="AU41" s="109"/>
      <c r="AV41" s="110"/>
      <c r="AW41" s="109"/>
      <c r="AX41" s="110"/>
      <c r="AY41" s="109"/>
      <c r="AZ41" s="110"/>
      <c r="BA41" s="109"/>
      <c r="BB41" s="110"/>
      <c r="BC41" s="109"/>
      <c r="BD41" s="110"/>
      <c r="BE41" s="109"/>
      <c r="BF41" s="110"/>
      <c r="BG41" s="109"/>
      <c r="BH41" s="110"/>
      <c r="BI41" s="109"/>
    </row>
    <row r="42" spans="1:61" x14ac:dyDescent="0.25">
      <c r="A42" s="8"/>
      <c r="B42" s="8" t="s">
        <v>79</v>
      </c>
      <c r="C42" s="8" t="s">
        <v>80</v>
      </c>
      <c r="D42" s="14">
        <f ca="1">TODAY()</f>
        <v>44507</v>
      </c>
      <c r="E42" s="15"/>
      <c r="F42" s="15"/>
    </row>
    <row r="56" spans="2:6" ht="15.75" thickBot="1" x14ac:dyDescent="0.3"/>
    <row r="57" spans="2:6" x14ac:dyDescent="0.25">
      <c r="B57" s="118" t="s">
        <v>81</v>
      </c>
      <c r="C57" s="119"/>
      <c r="D57" s="119"/>
      <c r="E57" s="120"/>
    </row>
    <row r="58" spans="2:6" x14ac:dyDescent="0.25">
      <c r="B58" s="121"/>
      <c r="C58" s="122"/>
      <c r="D58" s="122"/>
      <c r="E58" s="123"/>
    </row>
    <row r="59" spans="2:6" x14ac:dyDescent="0.25">
      <c r="B59" s="17" t="s">
        <v>11</v>
      </c>
      <c r="C59" s="8" t="s">
        <v>12</v>
      </c>
      <c r="D59" s="13">
        <f>D5</f>
        <v>0</v>
      </c>
      <c r="E59" s="18" t="s">
        <v>13</v>
      </c>
      <c r="F59" s="101"/>
    </row>
    <row r="60" spans="2:6" x14ac:dyDescent="0.25">
      <c r="B60" s="17" t="s">
        <v>14</v>
      </c>
      <c r="C60" s="8" t="s">
        <v>15</v>
      </c>
      <c r="D60" s="13">
        <f>D6</f>
        <v>0.46875</v>
      </c>
      <c r="E60" s="18" t="s">
        <v>13</v>
      </c>
      <c r="F60" s="101"/>
    </row>
    <row r="61" spans="2:6" x14ac:dyDescent="0.25">
      <c r="B61" s="17" t="s">
        <v>16</v>
      </c>
      <c r="C61" s="8" t="s">
        <v>17</v>
      </c>
      <c r="D61" s="13">
        <f>D7</f>
        <v>4.2006944444444452</v>
      </c>
      <c r="E61" s="18" t="s">
        <v>13</v>
      </c>
      <c r="F61" s="102"/>
    </row>
    <row r="62" spans="2:6" x14ac:dyDescent="0.25">
      <c r="B62" s="17" t="s">
        <v>28</v>
      </c>
      <c r="C62" s="8" t="s">
        <v>29</v>
      </c>
      <c r="D62" s="13">
        <f>D13</f>
        <v>83.773611111111123</v>
      </c>
      <c r="E62" s="18" t="s">
        <v>13</v>
      </c>
    </row>
    <row r="63" spans="2:6" x14ac:dyDescent="0.25">
      <c r="B63" s="17" t="s">
        <v>43</v>
      </c>
      <c r="C63" s="8" t="s">
        <v>44</v>
      </c>
      <c r="D63" s="13">
        <f>D21</f>
        <v>97.156249999999986</v>
      </c>
      <c r="E63" s="18" t="s">
        <v>13</v>
      </c>
    </row>
    <row r="64" spans="2:6" x14ac:dyDescent="0.25">
      <c r="B64" s="17" t="s">
        <v>56</v>
      </c>
      <c r="C64" s="8" t="s">
        <v>44</v>
      </c>
      <c r="D64" s="13">
        <f>D28</f>
        <v>98.35208333333334</v>
      </c>
      <c r="E64" s="18" t="s">
        <v>13</v>
      </c>
    </row>
    <row r="65" spans="2:6" ht="15.75" thickBot="1" x14ac:dyDescent="0.3">
      <c r="B65" s="19" t="s">
        <v>73</v>
      </c>
      <c r="C65" s="20" t="s">
        <v>74</v>
      </c>
      <c r="D65" s="21">
        <f>D39</f>
        <v>2.7777777777777776E-2</v>
      </c>
      <c r="E65" s="22" t="s">
        <v>13</v>
      </c>
      <c r="F65" s="101"/>
    </row>
    <row r="67" spans="2:6" ht="15.75" thickBot="1" x14ac:dyDescent="0.3"/>
    <row r="68" spans="2:6" x14ac:dyDescent="0.25">
      <c r="B68" s="118" t="s">
        <v>81</v>
      </c>
      <c r="C68" s="119"/>
      <c r="D68" s="119"/>
      <c r="E68" s="120"/>
    </row>
    <row r="69" spans="2:6" x14ac:dyDescent="0.25">
      <c r="B69" s="121"/>
      <c r="C69" s="122"/>
      <c r="D69" s="122"/>
      <c r="E69" s="123"/>
    </row>
    <row r="70" spans="2:6" x14ac:dyDescent="0.25">
      <c r="B70" s="8" t="s">
        <v>8</v>
      </c>
      <c r="C70" s="8" t="s">
        <v>9</v>
      </c>
      <c r="D70" s="12">
        <f>D4</f>
        <v>720</v>
      </c>
      <c r="E70" s="11" t="s">
        <v>10</v>
      </c>
    </row>
    <row r="71" spans="2:6" x14ac:dyDescent="0.25">
      <c r="B71" s="8" t="s">
        <v>18</v>
      </c>
      <c r="C71" s="8" t="s">
        <v>19</v>
      </c>
      <c r="D71" s="12">
        <f>D8</f>
        <v>1300</v>
      </c>
      <c r="E71" s="11" t="s">
        <v>10</v>
      </c>
    </row>
    <row r="72" spans="2:6" x14ac:dyDescent="0.25">
      <c r="B72" s="8" t="s">
        <v>20</v>
      </c>
      <c r="C72" s="8" t="s">
        <v>21</v>
      </c>
      <c r="D72" s="12">
        <f>D9</f>
        <v>330</v>
      </c>
      <c r="E72" s="11" t="s">
        <v>10</v>
      </c>
    </row>
    <row r="73" spans="2:6" x14ac:dyDescent="0.25">
      <c r="B73" s="8" t="s">
        <v>22</v>
      </c>
      <c r="C73" s="8" t="s">
        <v>23</v>
      </c>
      <c r="D73" s="12">
        <f>D10</f>
        <v>62.05</v>
      </c>
      <c r="E73" s="11" t="s">
        <v>10</v>
      </c>
    </row>
    <row r="74" spans="2:6" x14ac:dyDescent="0.25">
      <c r="B74" s="8" t="s">
        <v>24</v>
      </c>
      <c r="C74" s="8" t="s">
        <v>25</v>
      </c>
      <c r="D74" s="12">
        <f>D11</f>
        <v>775</v>
      </c>
      <c r="E74" s="11" t="s">
        <v>10</v>
      </c>
    </row>
    <row r="75" spans="2:6" x14ac:dyDescent="0.25">
      <c r="B75" s="8" t="s">
        <v>26</v>
      </c>
      <c r="C75" s="8" t="s">
        <v>27</v>
      </c>
      <c r="D75" s="12">
        <f>D12</f>
        <v>0</v>
      </c>
      <c r="E75" s="11" t="s">
        <v>10</v>
      </c>
    </row>
    <row r="76" spans="2:6" x14ac:dyDescent="0.25">
      <c r="B76" s="8" t="s">
        <v>30</v>
      </c>
      <c r="C76" s="8" t="s">
        <v>31</v>
      </c>
      <c r="D76" s="12">
        <f t="shared" ref="D76:D82" si="0">D14</f>
        <v>4067</v>
      </c>
      <c r="E76" s="11" t="s">
        <v>10</v>
      </c>
    </row>
    <row r="77" spans="2:6" x14ac:dyDescent="0.25">
      <c r="B77" s="8" t="s">
        <v>32</v>
      </c>
      <c r="C77" s="8" t="s">
        <v>33</v>
      </c>
      <c r="D77" s="12">
        <f t="shared" si="0"/>
        <v>1436</v>
      </c>
      <c r="E77" s="11" t="s">
        <v>10</v>
      </c>
    </row>
    <row r="78" spans="2:6" x14ac:dyDescent="0.25">
      <c r="B78" s="8" t="s">
        <v>34</v>
      </c>
      <c r="C78" s="8" t="s">
        <v>35</v>
      </c>
      <c r="D78" s="12">
        <f t="shared" si="0"/>
        <v>6386</v>
      </c>
      <c r="E78" s="11" t="s">
        <v>10</v>
      </c>
    </row>
    <row r="79" spans="2:6" x14ac:dyDescent="0.25">
      <c r="B79" s="8" t="s">
        <v>36</v>
      </c>
      <c r="C79" s="8" t="s">
        <v>37</v>
      </c>
      <c r="D79" s="12">
        <f t="shared" si="0"/>
        <v>348</v>
      </c>
      <c r="E79" s="11" t="s">
        <v>10</v>
      </c>
    </row>
    <row r="80" spans="2:6" x14ac:dyDescent="0.25">
      <c r="B80" s="8" t="s">
        <v>38</v>
      </c>
      <c r="C80" s="8" t="s">
        <v>39</v>
      </c>
      <c r="D80" s="12">
        <f t="shared" si="0"/>
        <v>1.78</v>
      </c>
      <c r="E80" s="11" t="s">
        <v>10</v>
      </c>
    </row>
    <row r="81" spans="2:5" x14ac:dyDescent="0.25">
      <c r="B81" s="8" t="s">
        <v>40</v>
      </c>
      <c r="C81" s="8" t="s">
        <v>41</v>
      </c>
      <c r="D81" s="12">
        <f t="shared" si="0"/>
        <v>1</v>
      </c>
      <c r="E81" s="11" t="s">
        <v>10</v>
      </c>
    </row>
    <row r="82" spans="2:5" x14ac:dyDescent="0.25">
      <c r="B82" s="8" t="s">
        <v>42</v>
      </c>
      <c r="C82" s="8" t="s">
        <v>41</v>
      </c>
      <c r="D82" s="12">
        <f t="shared" si="0"/>
        <v>1</v>
      </c>
      <c r="E82" s="11" t="s">
        <v>10</v>
      </c>
    </row>
    <row r="83" spans="2:5" x14ac:dyDescent="0.25">
      <c r="B83" s="8" t="s">
        <v>45</v>
      </c>
      <c r="C83" s="8" t="s">
        <v>46</v>
      </c>
      <c r="D83" s="12">
        <f t="shared" ref="D83:D88" si="1">D22</f>
        <v>1082</v>
      </c>
      <c r="E83" s="11" t="s">
        <v>10</v>
      </c>
    </row>
    <row r="84" spans="2:5" x14ac:dyDescent="0.25">
      <c r="B84" s="8" t="s">
        <v>47</v>
      </c>
      <c r="C84" s="8" t="s">
        <v>48</v>
      </c>
      <c r="D84" s="12">
        <f t="shared" si="1"/>
        <v>918.88</v>
      </c>
      <c r="E84" s="11" t="s">
        <v>10</v>
      </c>
    </row>
    <row r="85" spans="2:5" x14ac:dyDescent="0.25">
      <c r="B85" s="8" t="s">
        <v>49</v>
      </c>
      <c r="C85" s="8" t="s">
        <v>50</v>
      </c>
      <c r="D85" s="12">
        <f t="shared" si="1"/>
        <v>3503</v>
      </c>
      <c r="E85" s="11" t="s">
        <v>10</v>
      </c>
    </row>
    <row r="86" spans="2:5" x14ac:dyDescent="0.25">
      <c r="B86" s="8" t="s">
        <v>51</v>
      </c>
      <c r="C86" s="8" t="s">
        <v>52</v>
      </c>
      <c r="D86" s="12">
        <f t="shared" si="1"/>
        <v>3610</v>
      </c>
      <c r="E86" s="11" t="s">
        <v>10</v>
      </c>
    </row>
    <row r="87" spans="2:5" x14ac:dyDescent="0.25">
      <c r="B87" s="8" t="s">
        <v>53</v>
      </c>
      <c r="C87" s="8" t="s">
        <v>54</v>
      </c>
      <c r="D87" s="12">
        <f t="shared" si="1"/>
        <v>0</v>
      </c>
      <c r="E87" s="11" t="s">
        <v>10</v>
      </c>
    </row>
    <row r="88" spans="2:5" x14ac:dyDescent="0.25">
      <c r="B88" s="8" t="s">
        <v>55</v>
      </c>
      <c r="C88" s="8" t="s">
        <v>54</v>
      </c>
      <c r="D88" s="12">
        <f t="shared" si="1"/>
        <v>3.36</v>
      </c>
      <c r="E88" s="11" t="s">
        <v>10</v>
      </c>
    </row>
    <row r="89" spans="2:5" x14ac:dyDescent="0.25">
      <c r="B89" s="8" t="s">
        <v>57</v>
      </c>
      <c r="C89" s="8" t="s">
        <v>46</v>
      </c>
      <c r="D89" s="12">
        <f t="shared" ref="D89:D98" si="2">D29</f>
        <v>1483</v>
      </c>
      <c r="E89" s="11" t="s">
        <v>10</v>
      </c>
    </row>
    <row r="90" spans="2:5" x14ac:dyDescent="0.25">
      <c r="B90" s="8" t="s">
        <v>58</v>
      </c>
      <c r="C90" s="8" t="s">
        <v>48</v>
      </c>
      <c r="D90" s="12">
        <f t="shared" si="2"/>
        <v>1592.9699999999998</v>
      </c>
      <c r="E90" s="11" t="s">
        <v>10</v>
      </c>
    </row>
    <row r="91" spans="2:5" x14ac:dyDescent="0.25">
      <c r="B91" s="8" t="s">
        <v>59</v>
      </c>
      <c r="C91" s="8" t="s">
        <v>50</v>
      </c>
      <c r="D91" s="12">
        <f t="shared" si="2"/>
        <v>2373</v>
      </c>
      <c r="E91" s="11" t="s">
        <v>10</v>
      </c>
    </row>
    <row r="92" spans="2:5" x14ac:dyDescent="0.25">
      <c r="B92" s="8" t="s">
        <v>60</v>
      </c>
      <c r="C92" s="8" t="s">
        <v>61</v>
      </c>
      <c r="D92" s="12">
        <f t="shared" si="2"/>
        <v>2931.5</v>
      </c>
      <c r="E92" s="11" t="s">
        <v>10</v>
      </c>
    </row>
    <row r="93" spans="2:5" x14ac:dyDescent="0.25">
      <c r="B93" s="8" t="s">
        <v>62</v>
      </c>
      <c r="C93" s="8" t="s">
        <v>63</v>
      </c>
      <c r="D93" s="12">
        <f t="shared" si="2"/>
        <v>0</v>
      </c>
      <c r="E93" s="11" t="s">
        <v>10</v>
      </c>
    </row>
    <row r="94" spans="2:5" x14ac:dyDescent="0.25">
      <c r="B94" s="8" t="s">
        <v>64</v>
      </c>
      <c r="C94" s="8" t="s">
        <v>63</v>
      </c>
      <c r="D94" s="12">
        <f t="shared" si="2"/>
        <v>0</v>
      </c>
      <c r="E94" s="11" t="s">
        <v>10</v>
      </c>
    </row>
    <row r="95" spans="2:5" x14ac:dyDescent="0.25">
      <c r="B95" s="8" t="s">
        <v>65</v>
      </c>
      <c r="C95" s="8" t="s">
        <v>66</v>
      </c>
      <c r="D95" s="12">
        <f t="shared" si="2"/>
        <v>24198</v>
      </c>
      <c r="E95" s="11" t="s">
        <v>10</v>
      </c>
    </row>
    <row r="96" spans="2:5" x14ac:dyDescent="0.25">
      <c r="B96" s="8" t="s">
        <v>67</v>
      </c>
      <c r="C96" s="8" t="s">
        <v>68</v>
      </c>
      <c r="D96" s="12">
        <f t="shared" si="2"/>
        <v>1800</v>
      </c>
      <c r="E96" s="11" t="s">
        <v>10</v>
      </c>
    </row>
    <row r="97" spans="2:5" x14ac:dyDescent="0.25">
      <c r="B97" s="8" t="s">
        <v>69</v>
      </c>
      <c r="C97" s="8" t="s">
        <v>70</v>
      </c>
      <c r="D97" s="12">
        <f t="shared" si="2"/>
        <v>0</v>
      </c>
      <c r="E97" s="11" t="s">
        <v>10</v>
      </c>
    </row>
    <row r="98" spans="2:5" x14ac:dyDescent="0.25">
      <c r="B98" s="8" t="s">
        <v>71</v>
      </c>
      <c r="C98" s="8" t="s">
        <v>72</v>
      </c>
      <c r="D98" s="12">
        <f t="shared" si="2"/>
        <v>100</v>
      </c>
      <c r="E98" s="11" t="s">
        <v>10</v>
      </c>
    </row>
    <row r="99" spans="2:5" x14ac:dyDescent="0.25">
      <c r="B99" s="8" t="s">
        <v>75</v>
      </c>
      <c r="C99" s="8" t="s">
        <v>76</v>
      </c>
      <c r="D99" s="12">
        <f>D40</f>
        <v>0</v>
      </c>
      <c r="E99" s="11" t="s">
        <v>10</v>
      </c>
    </row>
    <row r="100" spans="2:5" x14ac:dyDescent="0.25">
      <c r="B100" s="8" t="s">
        <v>77</v>
      </c>
      <c r="C100" s="8" t="s">
        <v>78</v>
      </c>
      <c r="D100" s="12">
        <f>D41</f>
        <v>0</v>
      </c>
      <c r="E100" s="11" t="s">
        <v>10</v>
      </c>
    </row>
    <row r="101" spans="2:5" x14ac:dyDescent="0.25">
      <c r="B101" s="8" t="s">
        <v>79</v>
      </c>
      <c r="C101" s="8" t="s">
        <v>80</v>
      </c>
      <c r="D101" s="14">
        <f ca="1">TODAY()</f>
        <v>44507</v>
      </c>
      <c r="E101" s="11" t="s">
        <v>82</v>
      </c>
    </row>
  </sheetData>
  <sortState xmlns:xlrd2="http://schemas.microsoft.com/office/spreadsheetml/2017/richdata2" ref="A4:BI41">
    <sortCondition ref="A5:A41"/>
  </sortState>
  <mergeCells count="3">
    <mergeCell ref="B57:E58"/>
    <mergeCell ref="B68:E69"/>
    <mergeCell ref="B1:C1"/>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ABF8A-335A-4ACB-A259-2A3C55F6AF79}">
  <sheetPr codeName="Sheet9">
    <tabColor rgb="FFFF0000"/>
  </sheetPr>
  <dimension ref="A1:R183"/>
  <sheetViews>
    <sheetView zoomScale="75" zoomScaleNormal="75" workbookViewId="0">
      <selection activeCell="A4" sqref="A4"/>
    </sheetView>
  </sheetViews>
  <sheetFormatPr defaultRowHeight="15" x14ac:dyDescent="0.25"/>
  <cols>
    <col min="1" max="1" width="17.85546875" bestFit="1" customWidth="1"/>
    <col min="2" max="2" width="26" bestFit="1" customWidth="1"/>
    <col min="3" max="3" width="14.140625" bestFit="1" customWidth="1"/>
    <col min="4" max="4" width="55.28515625" customWidth="1"/>
    <col min="5" max="5" width="14.42578125" bestFit="1" customWidth="1"/>
    <col min="6" max="6" width="22" bestFit="1" customWidth="1"/>
    <col min="7" max="7" width="28.7109375" bestFit="1" customWidth="1"/>
    <col min="8" max="8" width="19" bestFit="1" customWidth="1"/>
    <col min="9" max="9" width="6.42578125" bestFit="1" customWidth="1"/>
    <col min="10" max="10" width="10.85546875" bestFit="1" customWidth="1"/>
    <col min="11" max="11" width="9.5703125" bestFit="1" customWidth="1"/>
    <col min="12" max="12" width="10.7109375" customWidth="1"/>
    <col min="13" max="14" width="8.7109375" bestFit="1" customWidth="1"/>
    <col min="15" max="15" width="10" customWidth="1"/>
    <col min="16" max="16" width="9.28515625" customWidth="1"/>
    <col min="17" max="17" width="8.85546875" bestFit="1" customWidth="1"/>
    <col min="18" max="18" width="18.42578125" style="41" bestFit="1" customWidth="1"/>
  </cols>
  <sheetData>
    <row r="1" spans="1:18" ht="92.25" customHeight="1" x14ac:dyDescent="0.25">
      <c r="A1" s="55" t="s">
        <v>347</v>
      </c>
      <c r="B1" s="56" t="str">
        <f>'Item Usage'!B1</f>
        <v>ZZ383</v>
      </c>
      <c r="D1" s="57" t="s">
        <v>323</v>
      </c>
      <c r="E1" s="125"/>
      <c r="F1" s="125"/>
    </row>
    <row r="2" spans="1:18" s="61" customFormat="1" ht="33" customHeight="1" x14ac:dyDescent="0.25">
      <c r="D2" s="62"/>
      <c r="E2" s="62"/>
      <c r="R2" s="41"/>
    </row>
    <row r="3" spans="1:18" s="38" customFormat="1" ht="60" x14ac:dyDescent="0.25">
      <c r="A3" s="83" t="s">
        <v>84</v>
      </c>
      <c r="B3" s="83" t="s">
        <v>91</v>
      </c>
      <c r="C3" s="83" t="s">
        <v>92</v>
      </c>
      <c r="D3" s="83" t="s">
        <v>94</v>
      </c>
      <c r="E3" s="83" t="s">
        <v>95</v>
      </c>
      <c r="F3" s="83" t="s">
        <v>97</v>
      </c>
      <c r="G3" s="83" t="s">
        <v>93</v>
      </c>
      <c r="H3" s="83" t="s">
        <v>96</v>
      </c>
      <c r="I3" s="83" t="s">
        <v>98</v>
      </c>
      <c r="J3" s="83" t="s">
        <v>85</v>
      </c>
      <c r="K3" s="83" t="s">
        <v>89</v>
      </c>
      <c r="L3" s="83" t="s">
        <v>325</v>
      </c>
      <c r="M3" s="83" t="s">
        <v>90</v>
      </c>
      <c r="N3" s="83" t="s">
        <v>99</v>
      </c>
      <c r="O3" s="83" t="s">
        <v>87</v>
      </c>
      <c r="P3" s="83" t="s">
        <v>88</v>
      </c>
      <c r="Q3" s="83" t="s">
        <v>86</v>
      </c>
      <c r="R3" s="85" t="s">
        <v>337</v>
      </c>
    </row>
    <row r="4" spans="1:18" x14ac:dyDescent="0.25">
      <c r="A4" t="s">
        <v>43</v>
      </c>
      <c r="B4" t="s">
        <v>493</v>
      </c>
      <c r="C4" t="s">
        <v>103</v>
      </c>
      <c r="D4" t="s">
        <v>494</v>
      </c>
      <c r="E4" t="s">
        <v>495</v>
      </c>
      <c r="F4" t="s">
        <v>496</v>
      </c>
      <c r="G4" t="s">
        <v>104</v>
      </c>
      <c r="H4" t="s">
        <v>105</v>
      </c>
      <c r="I4" t="s">
        <v>106</v>
      </c>
      <c r="J4" t="s">
        <v>44</v>
      </c>
      <c r="K4" t="s">
        <v>101</v>
      </c>
      <c r="L4" t="s">
        <v>326</v>
      </c>
      <c r="M4" s="16" t="s">
        <v>102</v>
      </c>
      <c r="N4" s="16" t="s">
        <v>107</v>
      </c>
      <c r="O4" s="16" t="s">
        <v>497</v>
      </c>
      <c r="P4" s="16" t="s">
        <v>100</v>
      </c>
      <c r="Q4" t="s">
        <v>492</v>
      </c>
      <c r="R4" s="107" t="s">
        <v>344</v>
      </c>
    </row>
    <row r="5" spans="1:18" x14ac:dyDescent="0.25">
      <c r="A5" t="s">
        <v>43</v>
      </c>
      <c r="B5" t="s">
        <v>498</v>
      </c>
      <c r="C5" t="s">
        <v>103</v>
      </c>
      <c r="D5" t="s">
        <v>499</v>
      </c>
      <c r="E5" t="s">
        <v>495</v>
      </c>
      <c r="F5" t="s">
        <v>500</v>
      </c>
      <c r="G5" t="s">
        <v>104</v>
      </c>
      <c r="H5" t="s">
        <v>105</v>
      </c>
      <c r="I5" t="s">
        <v>106</v>
      </c>
      <c r="J5" t="s">
        <v>44</v>
      </c>
      <c r="K5" t="s">
        <v>101</v>
      </c>
      <c r="L5" t="s">
        <v>326</v>
      </c>
      <c r="M5" s="16" t="s">
        <v>108</v>
      </c>
      <c r="N5" s="16" t="s">
        <v>109</v>
      </c>
      <c r="O5" s="16" t="s">
        <v>501</v>
      </c>
      <c r="P5" s="16" t="s">
        <v>100</v>
      </c>
      <c r="Q5" t="s">
        <v>492</v>
      </c>
      <c r="R5" s="107" t="s">
        <v>418</v>
      </c>
    </row>
    <row r="6" spans="1:18" x14ac:dyDescent="0.25">
      <c r="A6" t="s">
        <v>43</v>
      </c>
      <c r="B6" t="s">
        <v>502</v>
      </c>
      <c r="C6" t="s">
        <v>103</v>
      </c>
      <c r="D6" t="s">
        <v>503</v>
      </c>
      <c r="E6" t="s">
        <v>495</v>
      </c>
      <c r="F6" t="s">
        <v>504</v>
      </c>
      <c r="G6" t="s">
        <v>104</v>
      </c>
      <c r="H6" t="s">
        <v>105</v>
      </c>
      <c r="I6" t="s">
        <v>106</v>
      </c>
      <c r="J6" t="s">
        <v>44</v>
      </c>
      <c r="K6" t="s">
        <v>101</v>
      </c>
      <c r="L6" t="s">
        <v>326</v>
      </c>
      <c r="M6" s="16" t="s">
        <v>108</v>
      </c>
      <c r="N6" s="16" t="s">
        <v>109</v>
      </c>
      <c r="O6" s="16" t="s">
        <v>501</v>
      </c>
      <c r="P6" s="16" t="s">
        <v>100</v>
      </c>
      <c r="Q6" t="s">
        <v>492</v>
      </c>
      <c r="R6" s="107" t="s">
        <v>418</v>
      </c>
    </row>
    <row r="7" spans="1:18" x14ac:dyDescent="0.25">
      <c r="A7" t="s">
        <v>56</v>
      </c>
      <c r="B7" t="s">
        <v>493</v>
      </c>
      <c r="C7" t="s">
        <v>103</v>
      </c>
      <c r="D7" t="s">
        <v>494</v>
      </c>
      <c r="E7" t="s">
        <v>505</v>
      </c>
      <c r="F7" t="s">
        <v>496</v>
      </c>
      <c r="G7" t="s">
        <v>104</v>
      </c>
      <c r="H7" t="s">
        <v>105</v>
      </c>
      <c r="I7" t="s">
        <v>106</v>
      </c>
      <c r="J7" t="s">
        <v>44</v>
      </c>
      <c r="K7" t="s">
        <v>101</v>
      </c>
      <c r="L7" t="s">
        <v>326</v>
      </c>
      <c r="M7" s="16" t="s">
        <v>102</v>
      </c>
      <c r="N7" s="16" t="s">
        <v>107</v>
      </c>
      <c r="O7" s="16" t="s">
        <v>506</v>
      </c>
      <c r="P7" s="16" t="s">
        <v>100</v>
      </c>
      <c r="Q7" t="s">
        <v>492</v>
      </c>
      <c r="R7" s="107" t="s">
        <v>402</v>
      </c>
    </row>
    <row r="8" spans="1:18" x14ac:dyDescent="0.25">
      <c r="A8" t="s">
        <v>56</v>
      </c>
      <c r="B8" t="s">
        <v>507</v>
      </c>
      <c r="C8" t="s">
        <v>103</v>
      </c>
      <c r="D8" t="s">
        <v>508</v>
      </c>
      <c r="E8" t="s">
        <v>509</v>
      </c>
      <c r="F8" t="s">
        <v>510</v>
      </c>
      <c r="G8" t="s">
        <v>104</v>
      </c>
      <c r="H8" t="s">
        <v>511</v>
      </c>
      <c r="I8" t="s">
        <v>106</v>
      </c>
      <c r="J8" t="s">
        <v>44</v>
      </c>
      <c r="K8" t="s">
        <v>101</v>
      </c>
      <c r="L8" t="s">
        <v>328</v>
      </c>
      <c r="M8" s="16" t="s">
        <v>512</v>
      </c>
      <c r="N8" s="16" t="s">
        <v>513</v>
      </c>
      <c r="O8" s="16" t="s">
        <v>514</v>
      </c>
      <c r="P8" s="16" t="s">
        <v>100</v>
      </c>
      <c r="Q8" t="s">
        <v>492</v>
      </c>
      <c r="R8" s="107" t="s">
        <v>745</v>
      </c>
    </row>
    <row r="9" spans="1:18" x14ac:dyDescent="0.25">
      <c r="A9" t="s">
        <v>56</v>
      </c>
      <c r="B9" t="s">
        <v>515</v>
      </c>
      <c r="C9" t="s">
        <v>103</v>
      </c>
      <c r="D9" t="s">
        <v>516</v>
      </c>
      <c r="E9" t="s">
        <v>509</v>
      </c>
      <c r="F9" t="s">
        <v>517</v>
      </c>
      <c r="G9" t="s">
        <v>104</v>
      </c>
      <c r="H9" t="s">
        <v>511</v>
      </c>
      <c r="I9" t="s">
        <v>106</v>
      </c>
      <c r="J9" t="s">
        <v>44</v>
      </c>
      <c r="K9" t="s">
        <v>101</v>
      </c>
      <c r="L9" t="s">
        <v>328</v>
      </c>
      <c r="M9" s="16" t="s">
        <v>377</v>
      </c>
      <c r="N9" s="16" t="s">
        <v>518</v>
      </c>
      <c r="O9" s="16" t="s">
        <v>514</v>
      </c>
      <c r="P9" s="16" t="s">
        <v>100</v>
      </c>
      <c r="Q9" t="s">
        <v>492</v>
      </c>
      <c r="R9" s="107" t="s">
        <v>745</v>
      </c>
    </row>
    <row r="10" spans="1:18" x14ac:dyDescent="0.25">
      <c r="A10" t="s">
        <v>28</v>
      </c>
      <c r="B10" t="s">
        <v>379</v>
      </c>
      <c r="C10" t="s">
        <v>103</v>
      </c>
      <c r="D10" t="s">
        <v>380</v>
      </c>
      <c r="E10" t="s">
        <v>519</v>
      </c>
      <c r="F10" t="s">
        <v>381</v>
      </c>
      <c r="G10" t="s">
        <v>104</v>
      </c>
      <c r="H10" t="s">
        <v>141</v>
      </c>
      <c r="I10" t="s">
        <v>115</v>
      </c>
      <c r="J10" t="s">
        <v>29</v>
      </c>
      <c r="K10" t="s">
        <v>101</v>
      </c>
      <c r="L10" t="s">
        <v>328</v>
      </c>
      <c r="M10" s="16" t="s">
        <v>382</v>
      </c>
      <c r="N10" s="16" t="s">
        <v>383</v>
      </c>
      <c r="O10" s="16" t="s">
        <v>520</v>
      </c>
      <c r="P10" s="16" t="s">
        <v>100</v>
      </c>
      <c r="Q10" t="s">
        <v>492</v>
      </c>
      <c r="R10" s="107" t="s">
        <v>746</v>
      </c>
    </row>
    <row r="11" spans="1:18" x14ac:dyDescent="0.25">
      <c r="A11" t="s">
        <v>28</v>
      </c>
      <c r="B11" t="s">
        <v>123</v>
      </c>
      <c r="C11" t="s">
        <v>103</v>
      </c>
      <c r="D11" t="s">
        <v>125</v>
      </c>
      <c r="E11" t="s">
        <v>495</v>
      </c>
      <c r="F11" t="s">
        <v>126</v>
      </c>
      <c r="G11" t="s">
        <v>124</v>
      </c>
      <c r="H11" t="s">
        <v>105</v>
      </c>
      <c r="I11" t="s">
        <v>106</v>
      </c>
      <c r="J11" t="s">
        <v>29</v>
      </c>
      <c r="K11" t="s">
        <v>101</v>
      </c>
      <c r="L11" t="s">
        <v>326</v>
      </c>
      <c r="M11" s="16" t="s">
        <v>110</v>
      </c>
      <c r="N11" s="16" t="s">
        <v>127</v>
      </c>
      <c r="O11" s="16" t="s">
        <v>521</v>
      </c>
      <c r="P11" s="16" t="s">
        <v>100</v>
      </c>
      <c r="Q11" t="s">
        <v>492</v>
      </c>
      <c r="R11" s="107" t="s">
        <v>747</v>
      </c>
    </row>
    <row r="12" spans="1:18" x14ac:dyDescent="0.25">
      <c r="A12" t="s">
        <v>28</v>
      </c>
      <c r="B12" t="s">
        <v>123</v>
      </c>
      <c r="C12" t="s">
        <v>103</v>
      </c>
      <c r="D12" t="s">
        <v>125</v>
      </c>
      <c r="E12" t="s">
        <v>505</v>
      </c>
      <c r="F12" t="s">
        <v>126</v>
      </c>
      <c r="G12" t="s">
        <v>124</v>
      </c>
      <c r="H12" t="s">
        <v>105</v>
      </c>
      <c r="I12" t="s">
        <v>106</v>
      </c>
      <c r="J12" t="s">
        <v>29</v>
      </c>
      <c r="K12" t="s">
        <v>101</v>
      </c>
      <c r="L12" t="s">
        <v>326</v>
      </c>
      <c r="M12" s="16" t="s">
        <v>110</v>
      </c>
      <c r="N12" s="16" t="s">
        <v>127</v>
      </c>
      <c r="O12" s="16" t="s">
        <v>521</v>
      </c>
      <c r="P12" s="16" t="s">
        <v>100</v>
      </c>
      <c r="Q12" t="s">
        <v>492</v>
      </c>
      <c r="R12" s="107" t="s">
        <v>747</v>
      </c>
    </row>
    <row r="13" spans="1:18" x14ac:dyDescent="0.25">
      <c r="A13" t="s">
        <v>28</v>
      </c>
      <c r="B13" t="s">
        <v>120</v>
      </c>
      <c r="C13" t="s">
        <v>103</v>
      </c>
      <c r="D13" t="s">
        <v>121</v>
      </c>
      <c r="E13" t="s">
        <v>492</v>
      </c>
      <c r="F13" t="s">
        <v>122</v>
      </c>
      <c r="G13" t="s">
        <v>104</v>
      </c>
      <c r="H13" t="s">
        <v>113</v>
      </c>
      <c r="I13" t="s">
        <v>115</v>
      </c>
      <c r="J13" t="s">
        <v>29</v>
      </c>
      <c r="K13" t="s">
        <v>101</v>
      </c>
      <c r="L13" t="s">
        <v>327</v>
      </c>
      <c r="M13" s="16" t="s">
        <v>110</v>
      </c>
      <c r="N13" s="16" t="s">
        <v>116</v>
      </c>
      <c r="O13" s="16" t="s">
        <v>521</v>
      </c>
      <c r="P13" s="16" t="s">
        <v>100</v>
      </c>
      <c r="Q13" t="s">
        <v>492</v>
      </c>
      <c r="R13" s="107" t="s">
        <v>747</v>
      </c>
    </row>
    <row r="14" spans="1:18" x14ac:dyDescent="0.25">
      <c r="A14" t="s">
        <v>28</v>
      </c>
      <c r="B14" t="s">
        <v>128</v>
      </c>
      <c r="C14" t="s">
        <v>103</v>
      </c>
      <c r="D14" t="s">
        <v>129</v>
      </c>
      <c r="E14" t="s">
        <v>522</v>
      </c>
      <c r="F14" t="s">
        <v>130</v>
      </c>
      <c r="G14" t="s">
        <v>104</v>
      </c>
      <c r="H14" t="s">
        <v>386</v>
      </c>
      <c r="I14" t="s">
        <v>115</v>
      </c>
      <c r="J14" t="s">
        <v>29</v>
      </c>
      <c r="K14" t="s">
        <v>101</v>
      </c>
      <c r="L14" t="s">
        <v>328</v>
      </c>
      <c r="M14" s="16" t="s">
        <v>110</v>
      </c>
      <c r="N14" s="16" t="s">
        <v>131</v>
      </c>
      <c r="O14" s="16" t="s">
        <v>521</v>
      </c>
      <c r="P14" s="16" t="s">
        <v>100</v>
      </c>
      <c r="Q14" t="s">
        <v>492</v>
      </c>
      <c r="R14" s="107" t="s">
        <v>747</v>
      </c>
    </row>
    <row r="15" spans="1:18" x14ac:dyDescent="0.25">
      <c r="A15" t="s">
        <v>28</v>
      </c>
      <c r="B15" t="s">
        <v>119</v>
      </c>
      <c r="C15" t="s">
        <v>523</v>
      </c>
      <c r="D15" t="s">
        <v>385</v>
      </c>
      <c r="E15" t="s">
        <v>492</v>
      </c>
      <c r="F15" t="s">
        <v>119</v>
      </c>
      <c r="G15" t="s">
        <v>524</v>
      </c>
      <c r="H15" t="s">
        <v>113</v>
      </c>
      <c r="I15" t="s">
        <v>115</v>
      </c>
      <c r="J15" t="s">
        <v>29</v>
      </c>
      <c r="K15" t="s">
        <v>117</v>
      </c>
      <c r="L15" t="s">
        <v>327</v>
      </c>
      <c r="M15" s="16" t="s">
        <v>118</v>
      </c>
      <c r="N15" s="16" t="s">
        <v>138</v>
      </c>
      <c r="O15" s="16" t="s">
        <v>525</v>
      </c>
      <c r="P15" s="16" t="s">
        <v>100</v>
      </c>
      <c r="Q15" t="s">
        <v>492</v>
      </c>
      <c r="R15" s="107" t="s">
        <v>748</v>
      </c>
    </row>
    <row r="16" spans="1:18" x14ac:dyDescent="0.25">
      <c r="A16" t="s">
        <v>28</v>
      </c>
      <c r="B16" t="s">
        <v>119</v>
      </c>
      <c r="C16" t="s">
        <v>526</v>
      </c>
      <c r="D16" t="s">
        <v>385</v>
      </c>
      <c r="E16" t="s">
        <v>492</v>
      </c>
      <c r="F16" t="s">
        <v>119</v>
      </c>
      <c r="G16" t="s">
        <v>527</v>
      </c>
      <c r="H16" t="s">
        <v>113</v>
      </c>
      <c r="I16" t="s">
        <v>115</v>
      </c>
      <c r="J16" t="s">
        <v>29</v>
      </c>
      <c r="K16" t="s">
        <v>117</v>
      </c>
      <c r="L16" t="s">
        <v>327</v>
      </c>
      <c r="M16" s="16" t="s">
        <v>118</v>
      </c>
      <c r="N16" s="16" t="s">
        <v>138</v>
      </c>
      <c r="O16" s="16" t="s">
        <v>525</v>
      </c>
      <c r="P16" s="16" t="s">
        <v>100</v>
      </c>
      <c r="Q16" t="s">
        <v>492</v>
      </c>
      <c r="R16" s="107" t="s">
        <v>748</v>
      </c>
    </row>
    <row r="17" spans="1:18" x14ac:dyDescent="0.25">
      <c r="A17" t="s">
        <v>28</v>
      </c>
      <c r="B17" t="s">
        <v>132</v>
      </c>
      <c r="C17" t="s">
        <v>103</v>
      </c>
      <c r="D17" t="s">
        <v>133</v>
      </c>
      <c r="E17" t="s">
        <v>495</v>
      </c>
      <c r="F17" t="s">
        <v>134</v>
      </c>
      <c r="G17" t="s">
        <v>124</v>
      </c>
      <c r="H17" t="s">
        <v>105</v>
      </c>
      <c r="I17" t="s">
        <v>106</v>
      </c>
      <c r="J17" t="s">
        <v>29</v>
      </c>
      <c r="K17" t="s">
        <v>101</v>
      </c>
      <c r="L17" t="s">
        <v>326</v>
      </c>
      <c r="M17" s="16" t="s">
        <v>110</v>
      </c>
      <c r="N17" s="16" t="s">
        <v>127</v>
      </c>
      <c r="O17" s="16" t="s">
        <v>528</v>
      </c>
      <c r="P17" s="16" t="s">
        <v>100</v>
      </c>
      <c r="Q17" t="s">
        <v>492</v>
      </c>
      <c r="R17" s="107" t="s">
        <v>749</v>
      </c>
    </row>
    <row r="18" spans="1:18" x14ac:dyDescent="0.25">
      <c r="A18" t="s">
        <v>28</v>
      </c>
      <c r="B18" t="s">
        <v>132</v>
      </c>
      <c r="C18" t="s">
        <v>103</v>
      </c>
      <c r="D18" t="s">
        <v>133</v>
      </c>
      <c r="E18" t="s">
        <v>505</v>
      </c>
      <c r="F18" t="s">
        <v>134</v>
      </c>
      <c r="G18" t="s">
        <v>124</v>
      </c>
      <c r="H18" t="s">
        <v>105</v>
      </c>
      <c r="I18" t="s">
        <v>106</v>
      </c>
      <c r="J18" t="s">
        <v>29</v>
      </c>
      <c r="K18" t="s">
        <v>101</v>
      </c>
      <c r="L18" t="s">
        <v>326</v>
      </c>
      <c r="M18" s="16" t="s">
        <v>110</v>
      </c>
      <c r="N18" s="16" t="s">
        <v>127</v>
      </c>
      <c r="O18" s="16" t="s">
        <v>528</v>
      </c>
      <c r="P18" s="16" t="s">
        <v>100</v>
      </c>
      <c r="Q18" t="s">
        <v>492</v>
      </c>
      <c r="R18" s="107" t="s">
        <v>749</v>
      </c>
    </row>
    <row r="19" spans="1:18" x14ac:dyDescent="0.25">
      <c r="A19" t="s">
        <v>28</v>
      </c>
      <c r="B19" t="s">
        <v>529</v>
      </c>
      <c r="C19" t="s">
        <v>103</v>
      </c>
      <c r="D19" t="s">
        <v>530</v>
      </c>
      <c r="E19" t="s">
        <v>492</v>
      </c>
      <c r="F19" t="s">
        <v>529</v>
      </c>
      <c r="G19" t="s">
        <v>531</v>
      </c>
      <c r="H19" t="s">
        <v>113</v>
      </c>
      <c r="I19" t="s">
        <v>115</v>
      </c>
      <c r="J19" t="s">
        <v>29</v>
      </c>
      <c r="K19" t="s">
        <v>529</v>
      </c>
      <c r="L19" t="s">
        <v>327</v>
      </c>
      <c r="M19" s="16" t="s">
        <v>532</v>
      </c>
      <c r="N19" s="16" t="s">
        <v>533</v>
      </c>
      <c r="O19" s="16" t="s">
        <v>534</v>
      </c>
      <c r="P19" s="16" t="s">
        <v>100</v>
      </c>
      <c r="Q19" t="s">
        <v>492</v>
      </c>
      <c r="R19" s="70" t="s">
        <v>750</v>
      </c>
    </row>
    <row r="20" spans="1:18" x14ac:dyDescent="0.25">
      <c r="A20" t="s">
        <v>28</v>
      </c>
      <c r="B20" t="s">
        <v>407</v>
      </c>
      <c r="C20" t="s">
        <v>103</v>
      </c>
      <c r="D20" t="s">
        <v>408</v>
      </c>
      <c r="E20" t="s">
        <v>535</v>
      </c>
      <c r="F20" t="s">
        <v>409</v>
      </c>
      <c r="G20" t="s">
        <v>104</v>
      </c>
      <c r="H20" t="s">
        <v>410</v>
      </c>
      <c r="I20" t="s">
        <v>115</v>
      </c>
      <c r="J20" t="s">
        <v>29</v>
      </c>
      <c r="K20" t="s">
        <v>411</v>
      </c>
      <c r="L20" t="s">
        <v>328</v>
      </c>
      <c r="M20" s="16" t="s">
        <v>412</v>
      </c>
      <c r="N20" s="16" t="s">
        <v>413</v>
      </c>
      <c r="O20" s="16" t="s">
        <v>534</v>
      </c>
      <c r="P20" s="16" t="s">
        <v>100</v>
      </c>
      <c r="Q20" t="s">
        <v>492</v>
      </c>
      <c r="R20" s="107" t="s">
        <v>750</v>
      </c>
    </row>
    <row r="21" spans="1:18" x14ac:dyDescent="0.25">
      <c r="A21" t="s">
        <v>28</v>
      </c>
      <c r="B21" t="s">
        <v>111</v>
      </c>
      <c r="C21" t="s">
        <v>103</v>
      </c>
      <c r="D21" t="s">
        <v>112</v>
      </c>
      <c r="E21" t="s">
        <v>492</v>
      </c>
      <c r="F21" t="s">
        <v>114</v>
      </c>
      <c r="G21" t="s">
        <v>104</v>
      </c>
      <c r="H21" t="s">
        <v>113</v>
      </c>
      <c r="I21" t="s">
        <v>115</v>
      </c>
      <c r="J21" t="s">
        <v>29</v>
      </c>
      <c r="K21" t="s">
        <v>101</v>
      </c>
      <c r="L21" t="s">
        <v>327</v>
      </c>
      <c r="M21" s="16" t="s">
        <v>110</v>
      </c>
      <c r="N21" s="16" t="s">
        <v>116</v>
      </c>
      <c r="O21" s="16" t="s">
        <v>536</v>
      </c>
      <c r="P21" s="16" t="s">
        <v>100</v>
      </c>
      <c r="Q21" t="s">
        <v>492</v>
      </c>
      <c r="R21" s="107" t="s">
        <v>338</v>
      </c>
    </row>
    <row r="22" spans="1:18" x14ac:dyDescent="0.25">
      <c r="A22" t="s">
        <v>28</v>
      </c>
      <c r="B22" t="s">
        <v>182</v>
      </c>
      <c r="C22" t="s">
        <v>103</v>
      </c>
      <c r="D22" t="s">
        <v>183</v>
      </c>
      <c r="E22" t="s">
        <v>492</v>
      </c>
      <c r="F22" t="s">
        <v>184</v>
      </c>
      <c r="G22" t="s">
        <v>104</v>
      </c>
      <c r="H22" t="s">
        <v>113</v>
      </c>
      <c r="I22" t="s">
        <v>115</v>
      </c>
      <c r="J22" t="s">
        <v>29</v>
      </c>
      <c r="K22" t="s">
        <v>101</v>
      </c>
      <c r="L22" t="s">
        <v>327</v>
      </c>
      <c r="M22" s="16" t="s">
        <v>166</v>
      </c>
      <c r="N22" s="16" t="s">
        <v>171</v>
      </c>
      <c r="O22" s="16" t="s">
        <v>537</v>
      </c>
      <c r="P22" s="16" t="s">
        <v>100</v>
      </c>
      <c r="Q22" t="s">
        <v>492</v>
      </c>
      <c r="R22" s="107" t="s">
        <v>338</v>
      </c>
    </row>
    <row r="23" spans="1:18" x14ac:dyDescent="0.25">
      <c r="A23" t="s">
        <v>28</v>
      </c>
      <c r="B23" t="s">
        <v>191</v>
      </c>
      <c r="C23" t="s">
        <v>103</v>
      </c>
      <c r="D23" t="s">
        <v>192</v>
      </c>
      <c r="E23" t="s">
        <v>538</v>
      </c>
      <c r="F23" t="s">
        <v>194</v>
      </c>
      <c r="G23" t="s">
        <v>104</v>
      </c>
      <c r="H23" t="s">
        <v>193</v>
      </c>
      <c r="I23" t="s">
        <v>195</v>
      </c>
      <c r="J23" t="s">
        <v>29</v>
      </c>
      <c r="K23" t="s">
        <v>101</v>
      </c>
      <c r="L23" t="s">
        <v>328</v>
      </c>
      <c r="M23" s="16" t="s">
        <v>166</v>
      </c>
      <c r="N23" s="16" t="s">
        <v>171</v>
      </c>
      <c r="O23" s="16" t="s">
        <v>537</v>
      </c>
      <c r="P23" s="16" t="s">
        <v>100</v>
      </c>
      <c r="Q23" t="s">
        <v>492</v>
      </c>
      <c r="R23" s="107" t="s">
        <v>338</v>
      </c>
    </row>
    <row r="24" spans="1:18" x14ac:dyDescent="0.25">
      <c r="A24" t="s">
        <v>28</v>
      </c>
      <c r="B24" t="s">
        <v>135</v>
      </c>
      <c r="C24" t="s">
        <v>103</v>
      </c>
      <c r="D24" t="s">
        <v>136</v>
      </c>
      <c r="E24" t="s">
        <v>492</v>
      </c>
      <c r="F24" t="s">
        <v>137</v>
      </c>
      <c r="G24" t="s">
        <v>104</v>
      </c>
      <c r="H24" t="s">
        <v>113</v>
      </c>
      <c r="I24" t="s">
        <v>115</v>
      </c>
      <c r="J24" t="s">
        <v>29</v>
      </c>
      <c r="K24" t="s">
        <v>101</v>
      </c>
      <c r="L24" t="s">
        <v>327</v>
      </c>
      <c r="M24" s="16" t="s">
        <v>118</v>
      </c>
      <c r="N24" s="16" t="s">
        <v>138</v>
      </c>
      <c r="O24" s="16" t="s">
        <v>539</v>
      </c>
      <c r="P24" s="16" t="s">
        <v>100</v>
      </c>
      <c r="Q24" t="s">
        <v>492</v>
      </c>
      <c r="R24" s="107" t="s">
        <v>751</v>
      </c>
    </row>
    <row r="25" spans="1:18" x14ac:dyDescent="0.25">
      <c r="A25" t="s">
        <v>28</v>
      </c>
      <c r="B25" t="s">
        <v>153</v>
      </c>
      <c r="C25" t="s">
        <v>103</v>
      </c>
      <c r="D25" t="s">
        <v>154</v>
      </c>
      <c r="E25" t="s">
        <v>540</v>
      </c>
      <c r="F25" t="s">
        <v>156</v>
      </c>
      <c r="G25" t="s">
        <v>104</v>
      </c>
      <c r="H25" t="s">
        <v>155</v>
      </c>
      <c r="I25" t="s">
        <v>115</v>
      </c>
      <c r="J25" t="s">
        <v>29</v>
      </c>
      <c r="K25" t="s">
        <v>101</v>
      </c>
      <c r="L25" t="s">
        <v>328</v>
      </c>
      <c r="M25" s="16" t="s">
        <v>118</v>
      </c>
      <c r="N25" s="16" t="s">
        <v>138</v>
      </c>
      <c r="O25" s="16" t="s">
        <v>539</v>
      </c>
      <c r="P25" s="16" t="s">
        <v>100</v>
      </c>
      <c r="Q25" t="s">
        <v>492</v>
      </c>
      <c r="R25" s="107" t="s">
        <v>751</v>
      </c>
    </row>
    <row r="26" spans="1:18" x14ac:dyDescent="0.25">
      <c r="A26" t="s">
        <v>28</v>
      </c>
      <c r="B26" t="s">
        <v>157</v>
      </c>
      <c r="C26" t="s">
        <v>103</v>
      </c>
      <c r="D26" t="s">
        <v>158</v>
      </c>
      <c r="E26" t="s">
        <v>540</v>
      </c>
      <c r="F26" t="s">
        <v>159</v>
      </c>
      <c r="G26" t="s">
        <v>104</v>
      </c>
      <c r="H26" t="s">
        <v>155</v>
      </c>
      <c r="I26" t="s">
        <v>115</v>
      </c>
      <c r="J26" t="s">
        <v>29</v>
      </c>
      <c r="K26" t="s">
        <v>101</v>
      </c>
      <c r="L26" t="s">
        <v>328</v>
      </c>
      <c r="M26" s="16" t="s">
        <v>118</v>
      </c>
      <c r="N26" s="16" t="s">
        <v>138</v>
      </c>
      <c r="O26" s="16" t="s">
        <v>539</v>
      </c>
      <c r="P26" s="16" t="s">
        <v>100</v>
      </c>
      <c r="Q26" t="s">
        <v>492</v>
      </c>
      <c r="R26" s="107" t="s">
        <v>751</v>
      </c>
    </row>
    <row r="27" spans="1:18" x14ac:dyDescent="0.25">
      <c r="A27" t="s">
        <v>28</v>
      </c>
      <c r="B27" t="s">
        <v>146</v>
      </c>
      <c r="C27" t="s">
        <v>103</v>
      </c>
      <c r="D27" t="s">
        <v>147</v>
      </c>
      <c r="E27" t="s">
        <v>541</v>
      </c>
      <c r="F27" t="s">
        <v>149</v>
      </c>
      <c r="G27" t="s">
        <v>104</v>
      </c>
      <c r="H27" t="s">
        <v>148</v>
      </c>
      <c r="I27" t="s">
        <v>115</v>
      </c>
      <c r="J27" t="s">
        <v>29</v>
      </c>
      <c r="K27" t="s">
        <v>101</v>
      </c>
      <c r="L27" t="s">
        <v>328</v>
      </c>
      <c r="M27" s="16" t="s">
        <v>118</v>
      </c>
      <c r="N27" s="16" t="s">
        <v>138</v>
      </c>
      <c r="O27" s="16" t="s">
        <v>539</v>
      </c>
      <c r="P27" s="16" t="s">
        <v>100</v>
      </c>
      <c r="Q27" t="s">
        <v>492</v>
      </c>
      <c r="R27" s="107" t="s">
        <v>751</v>
      </c>
    </row>
    <row r="28" spans="1:18" x14ac:dyDescent="0.25">
      <c r="A28" t="s">
        <v>28</v>
      </c>
      <c r="B28" t="s">
        <v>150</v>
      </c>
      <c r="C28" t="s">
        <v>103</v>
      </c>
      <c r="D28" t="s">
        <v>151</v>
      </c>
      <c r="E28" t="s">
        <v>541</v>
      </c>
      <c r="F28" t="s">
        <v>152</v>
      </c>
      <c r="G28" t="s">
        <v>104</v>
      </c>
      <c r="H28" t="s">
        <v>148</v>
      </c>
      <c r="I28" t="s">
        <v>115</v>
      </c>
      <c r="J28" t="s">
        <v>29</v>
      </c>
      <c r="K28" t="s">
        <v>101</v>
      </c>
      <c r="L28" t="s">
        <v>328</v>
      </c>
      <c r="M28" s="16" t="s">
        <v>118</v>
      </c>
      <c r="N28" s="16" t="s">
        <v>138</v>
      </c>
      <c r="O28" s="16" t="s">
        <v>539</v>
      </c>
      <c r="P28" s="16" t="s">
        <v>100</v>
      </c>
      <c r="Q28" t="s">
        <v>492</v>
      </c>
      <c r="R28" s="107" t="s">
        <v>751</v>
      </c>
    </row>
    <row r="29" spans="1:18" x14ac:dyDescent="0.25">
      <c r="A29" t="s">
        <v>28</v>
      </c>
      <c r="B29" t="s">
        <v>139</v>
      </c>
      <c r="C29" t="s">
        <v>103</v>
      </c>
      <c r="D29" t="s">
        <v>140</v>
      </c>
      <c r="E29" t="s">
        <v>519</v>
      </c>
      <c r="F29" t="s">
        <v>142</v>
      </c>
      <c r="G29" t="s">
        <v>104</v>
      </c>
      <c r="H29" t="s">
        <v>141</v>
      </c>
      <c r="I29" t="s">
        <v>115</v>
      </c>
      <c r="J29" t="s">
        <v>29</v>
      </c>
      <c r="K29" t="s">
        <v>101</v>
      </c>
      <c r="L29" t="s">
        <v>328</v>
      </c>
      <c r="M29" s="16" t="s">
        <v>118</v>
      </c>
      <c r="N29" s="16" t="s">
        <v>138</v>
      </c>
      <c r="O29" s="16" t="s">
        <v>539</v>
      </c>
      <c r="P29" s="16" t="s">
        <v>100</v>
      </c>
      <c r="Q29" t="s">
        <v>492</v>
      </c>
      <c r="R29" s="107" t="s">
        <v>751</v>
      </c>
    </row>
    <row r="30" spans="1:18" x14ac:dyDescent="0.25">
      <c r="A30" t="s">
        <v>28</v>
      </c>
      <c r="B30" t="s">
        <v>143</v>
      </c>
      <c r="C30" t="s">
        <v>103</v>
      </c>
      <c r="D30" t="s">
        <v>144</v>
      </c>
      <c r="E30" t="s">
        <v>519</v>
      </c>
      <c r="F30" t="s">
        <v>145</v>
      </c>
      <c r="G30" t="s">
        <v>104</v>
      </c>
      <c r="H30" t="s">
        <v>141</v>
      </c>
      <c r="I30" t="s">
        <v>115</v>
      </c>
      <c r="J30" t="s">
        <v>29</v>
      </c>
      <c r="K30" t="s">
        <v>101</v>
      </c>
      <c r="L30" t="s">
        <v>328</v>
      </c>
      <c r="M30" s="16" t="s">
        <v>118</v>
      </c>
      <c r="N30" s="16" t="s">
        <v>138</v>
      </c>
      <c r="O30" s="16" t="s">
        <v>539</v>
      </c>
      <c r="P30" s="16" t="s">
        <v>100</v>
      </c>
      <c r="Q30" t="s">
        <v>492</v>
      </c>
      <c r="R30" s="107" t="s">
        <v>751</v>
      </c>
    </row>
    <row r="31" spans="1:18" x14ac:dyDescent="0.25">
      <c r="A31" t="s">
        <v>28</v>
      </c>
      <c r="B31" t="s">
        <v>168</v>
      </c>
      <c r="C31" t="s">
        <v>103</v>
      </c>
      <c r="D31" t="s">
        <v>169</v>
      </c>
      <c r="E31" t="s">
        <v>492</v>
      </c>
      <c r="F31" t="s">
        <v>170</v>
      </c>
      <c r="G31" t="s">
        <v>104</v>
      </c>
      <c r="H31" t="s">
        <v>113</v>
      </c>
      <c r="I31" t="s">
        <v>115</v>
      </c>
      <c r="J31" t="s">
        <v>29</v>
      </c>
      <c r="K31" t="s">
        <v>167</v>
      </c>
      <c r="L31" t="s">
        <v>327</v>
      </c>
      <c r="M31" s="16" t="s">
        <v>166</v>
      </c>
      <c r="N31" s="16" t="s">
        <v>171</v>
      </c>
      <c r="O31" s="16" t="s">
        <v>542</v>
      </c>
      <c r="P31" s="16" t="s">
        <v>100</v>
      </c>
      <c r="Q31" t="s">
        <v>492</v>
      </c>
      <c r="R31" s="107" t="s">
        <v>752</v>
      </c>
    </row>
    <row r="32" spans="1:18" x14ac:dyDescent="0.25">
      <c r="A32" t="s">
        <v>28</v>
      </c>
      <c r="B32" t="s">
        <v>176</v>
      </c>
      <c r="C32" t="s">
        <v>103</v>
      </c>
      <c r="D32" t="s">
        <v>177</v>
      </c>
      <c r="E32" t="s">
        <v>492</v>
      </c>
      <c r="F32" t="s">
        <v>178</v>
      </c>
      <c r="G32" t="s">
        <v>104</v>
      </c>
      <c r="H32" t="s">
        <v>113</v>
      </c>
      <c r="I32" t="s">
        <v>115</v>
      </c>
      <c r="J32" t="s">
        <v>29</v>
      </c>
      <c r="K32" t="s">
        <v>101</v>
      </c>
      <c r="L32" t="s">
        <v>327</v>
      </c>
      <c r="M32" s="16" t="s">
        <v>166</v>
      </c>
      <c r="N32" s="16" t="s">
        <v>171</v>
      </c>
      <c r="O32" s="16" t="s">
        <v>542</v>
      </c>
      <c r="P32" s="16" t="s">
        <v>100</v>
      </c>
      <c r="Q32" t="s">
        <v>492</v>
      </c>
      <c r="R32" s="107" t="s">
        <v>752</v>
      </c>
    </row>
    <row r="33" spans="1:18" x14ac:dyDescent="0.25">
      <c r="A33" t="s">
        <v>28</v>
      </c>
      <c r="B33" t="s">
        <v>179</v>
      </c>
      <c r="C33" t="s">
        <v>103</v>
      </c>
      <c r="D33" t="s">
        <v>180</v>
      </c>
      <c r="E33" t="s">
        <v>492</v>
      </c>
      <c r="F33" t="s">
        <v>181</v>
      </c>
      <c r="G33" t="s">
        <v>104</v>
      </c>
      <c r="H33" t="s">
        <v>113</v>
      </c>
      <c r="I33" t="s">
        <v>115</v>
      </c>
      <c r="J33" t="s">
        <v>29</v>
      </c>
      <c r="K33" t="s">
        <v>101</v>
      </c>
      <c r="L33" t="s">
        <v>327</v>
      </c>
      <c r="M33" s="16" t="s">
        <v>166</v>
      </c>
      <c r="N33" s="16" t="s">
        <v>171</v>
      </c>
      <c r="O33" s="16" t="s">
        <v>542</v>
      </c>
      <c r="P33" s="16" t="s">
        <v>100</v>
      </c>
      <c r="Q33" t="s">
        <v>492</v>
      </c>
      <c r="R33" s="107" t="s">
        <v>752</v>
      </c>
    </row>
    <row r="34" spans="1:18" x14ac:dyDescent="0.25">
      <c r="A34" t="s">
        <v>28</v>
      </c>
      <c r="B34" t="s">
        <v>185</v>
      </c>
      <c r="C34" t="s">
        <v>103</v>
      </c>
      <c r="D34" t="s">
        <v>186</v>
      </c>
      <c r="E34" t="s">
        <v>492</v>
      </c>
      <c r="F34" t="s">
        <v>187</v>
      </c>
      <c r="G34" t="s">
        <v>104</v>
      </c>
      <c r="H34" t="s">
        <v>113</v>
      </c>
      <c r="I34" t="s">
        <v>115</v>
      </c>
      <c r="J34" t="s">
        <v>29</v>
      </c>
      <c r="K34" t="s">
        <v>101</v>
      </c>
      <c r="L34" t="s">
        <v>327</v>
      </c>
      <c r="M34" s="16" t="s">
        <v>166</v>
      </c>
      <c r="N34" s="16" t="s">
        <v>171</v>
      </c>
      <c r="O34" s="16" t="s">
        <v>542</v>
      </c>
      <c r="P34" s="16" t="s">
        <v>100</v>
      </c>
      <c r="Q34" t="s">
        <v>492</v>
      </c>
      <c r="R34" s="107" t="s">
        <v>752</v>
      </c>
    </row>
    <row r="35" spans="1:18" x14ac:dyDescent="0.25">
      <c r="A35" t="s">
        <v>28</v>
      </c>
      <c r="B35" t="s">
        <v>188</v>
      </c>
      <c r="C35" t="s">
        <v>103</v>
      </c>
      <c r="D35" t="s">
        <v>189</v>
      </c>
      <c r="E35" t="s">
        <v>492</v>
      </c>
      <c r="F35" t="s">
        <v>190</v>
      </c>
      <c r="G35" t="s">
        <v>104</v>
      </c>
      <c r="H35" t="s">
        <v>113</v>
      </c>
      <c r="I35" t="s">
        <v>115</v>
      </c>
      <c r="J35" t="s">
        <v>29</v>
      </c>
      <c r="K35" t="s">
        <v>101</v>
      </c>
      <c r="L35" t="s">
        <v>327</v>
      </c>
      <c r="M35" s="16" t="s">
        <v>166</v>
      </c>
      <c r="N35" s="16" t="s">
        <v>171</v>
      </c>
      <c r="O35" s="16" t="s">
        <v>542</v>
      </c>
      <c r="P35" s="16" t="s">
        <v>100</v>
      </c>
      <c r="Q35" t="s">
        <v>492</v>
      </c>
      <c r="R35" s="107" t="s">
        <v>752</v>
      </c>
    </row>
    <row r="36" spans="1:18" x14ac:dyDescent="0.25">
      <c r="A36" t="s">
        <v>28</v>
      </c>
      <c r="B36" t="s">
        <v>394</v>
      </c>
      <c r="C36" t="s">
        <v>103</v>
      </c>
      <c r="D36" t="s">
        <v>395</v>
      </c>
      <c r="E36" t="s">
        <v>538</v>
      </c>
      <c r="F36" t="s">
        <v>396</v>
      </c>
      <c r="G36" t="s">
        <v>104</v>
      </c>
      <c r="H36" t="s">
        <v>193</v>
      </c>
      <c r="I36" t="s">
        <v>195</v>
      </c>
      <c r="J36" t="s">
        <v>29</v>
      </c>
      <c r="K36" t="s">
        <v>101</v>
      </c>
      <c r="L36" t="s">
        <v>328</v>
      </c>
      <c r="M36" s="16" t="s">
        <v>166</v>
      </c>
      <c r="N36" s="16" t="s">
        <v>171</v>
      </c>
      <c r="O36" s="16" t="s">
        <v>542</v>
      </c>
      <c r="P36" s="16" t="s">
        <v>100</v>
      </c>
      <c r="Q36" t="s">
        <v>492</v>
      </c>
      <c r="R36" s="107" t="s">
        <v>752</v>
      </c>
    </row>
    <row r="37" spans="1:18" x14ac:dyDescent="0.25">
      <c r="A37" t="s">
        <v>28</v>
      </c>
      <c r="B37" t="s">
        <v>203</v>
      </c>
      <c r="C37" t="s">
        <v>103</v>
      </c>
      <c r="D37" t="s">
        <v>204</v>
      </c>
      <c r="E37" t="s">
        <v>543</v>
      </c>
      <c r="F37" t="s">
        <v>206</v>
      </c>
      <c r="G37" t="s">
        <v>104</v>
      </c>
      <c r="H37" t="s">
        <v>205</v>
      </c>
      <c r="I37" t="s">
        <v>115</v>
      </c>
      <c r="J37" t="s">
        <v>29</v>
      </c>
      <c r="K37" t="s">
        <v>101</v>
      </c>
      <c r="L37" t="s">
        <v>328</v>
      </c>
      <c r="M37" s="16" t="s">
        <v>166</v>
      </c>
      <c r="N37" s="16" t="s">
        <v>171</v>
      </c>
      <c r="O37" s="16" t="s">
        <v>542</v>
      </c>
      <c r="P37" s="16" t="s">
        <v>100</v>
      </c>
      <c r="Q37" t="s">
        <v>492</v>
      </c>
      <c r="R37" s="107" t="s">
        <v>752</v>
      </c>
    </row>
    <row r="38" spans="1:18" x14ac:dyDescent="0.25">
      <c r="A38" t="s">
        <v>28</v>
      </c>
      <c r="B38" t="s">
        <v>200</v>
      </c>
      <c r="C38" t="s">
        <v>103</v>
      </c>
      <c r="D38" t="s">
        <v>201</v>
      </c>
      <c r="E38" t="s">
        <v>544</v>
      </c>
      <c r="F38" t="s">
        <v>202</v>
      </c>
      <c r="G38" t="s">
        <v>104</v>
      </c>
      <c r="H38" t="s">
        <v>545</v>
      </c>
      <c r="I38" t="s">
        <v>115</v>
      </c>
      <c r="J38" t="s">
        <v>29</v>
      </c>
      <c r="K38" t="s">
        <v>101</v>
      </c>
      <c r="L38" t="s">
        <v>328</v>
      </c>
      <c r="M38" s="16" t="s">
        <v>166</v>
      </c>
      <c r="N38" s="16" t="s">
        <v>171</v>
      </c>
      <c r="O38" s="16" t="s">
        <v>542</v>
      </c>
      <c r="P38" s="16" t="s">
        <v>100</v>
      </c>
      <c r="Q38" t="s">
        <v>492</v>
      </c>
      <c r="R38" s="107" t="s">
        <v>752</v>
      </c>
    </row>
    <row r="39" spans="1:18" x14ac:dyDescent="0.25">
      <c r="A39" t="s">
        <v>28</v>
      </c>
      <c r="B39" t="s">
        <v>200</v>
      </c>
      <c r="C39" t="s">
        <v>103</v>
      </c>
      <c r="D39" t="s">
        <v>201</v>
      </c>
      <c r="E39" t="s">
        <v>546</v>
      </c>
      <c r="F39" t="s">
        <v>202</v>
      </c>
      <c r="G39" t="s">
        <v>104</v>
      </c>
      <c r="H39" t="s">
        <v>545</v>
      </c>
      <c r="I39" t="s">
        <v>115</v>
      </c>
      <c r="J39" t="s">
        <v>29</v>
      </c>
      <c r="K39" t="s">
        <v>101</v>
      </c>
      <c r="L39" t="s">
        <v>328</v>
      </c>
      <c r="M39" s="16" t="s">
        <v>166</v>
      </c>
      <c r="N39" s="16" t="s">
        <v>171</v>
      </c>
      <c r="O39" s="16" t="s">
        <v>542</v>
      </c>
      <c r="P39" s="16" t="s">
        <v>100</v>
      </c>
      <c r="Q39" t="s">
        <v>492</v>
      </c>
      <c r="R39" s="107" t="s">
        <v>752</v>
      </c>
    </row>
    <row r="40" spans="1:18" x14ac:dyDescent="0.25">
      <c r="A40" t="s">
        <v>28</v>
      </c>
      <c r="B40" t="s">
        <v>200</v>
      </c>
      <c r="C40" t="s">
        <v>103</v>
      </c>
      <c r="D40" t="s">
        <v>201</v>
      </c>
      <c r="E40" t="s">
        <v>547</v>
      </c>
      <c r="F40" t="s">
        <v>202</v>
      </c>
      <c r="G40" t="s">
        <v>104</v>
      </c>
      <c r="H40" t="s">
        <v>545</v>
      </c>
      <c r="I40" t="s">
        <v>115</v>
      </c>
      <c r="J40" t="s">
        <v>29</v>
      </c>
      <c r="K40" t="s">
        <v>101</v>
      </c>
      <c r="L40" t="s">
        <v>328</v>
      </c>
      <c r="M40" s="16" t="s">
        <v>166</v>
      </c>
      <c r="N40" s="16" t="s">
        <v>171</v>
      </c>
      <c r="O40" s="16" t="s">
        <v>542</v>
      </c>
      <c r="P40" s="16" t="s">
        <v>100</v>
      </c>
      <c r="Q40" t="s">
        <v>492</v>
      </c>
      <c r="R40" s="107" t="s">
        <v>752</v>
      </c>
    </row>
    <row r="41" spans="1:18" x14ac:dyDescent="0.25">
      <c r="A41" t="s">
        <v>28</v>
      </c>
      <c r="B41" t="s">
        <v>200</v>
      </c>
      <c r="C41" t="s">
        <v>103</v>
      </c>
      <c r="D41" t="s">
        <v>201</v>
      </c>
      <c r="E41" t="s">
        <v>548</v>
      </c>
      <c r="F41" t="s">
        <v>202</v>
      </c>
      <c r="G41" t="s">
        <v>104</v>
      </c>
      <c r="H41" t="s">
        <v>545</v>
      </c>
      <c r="I41" t="s">
        <v>115</v>
      </c>
      <c r="J41" t="s">
        <v>29</v>
      </c>
      <c r="K41" t="s">
        <v>101</v>
      </c>
      <c r="L41" t="s">
        <v>328</v>
      </c>
      <c r="M41" s="16" t="s">
        <v>166</v>
      </c>
      <c r="N41" s="16" t="s">
        <v>171</v>
      </c>
      <c r="O41" s="16" t="s">
        <v>542</v>
      </c>
      <c r="P41" s="16" t="s">
        <v>100</v>
      </c>
      <c r="Q41" t="s">
        <v>492</v>
      </c>
      <c r="R41" s="107" t="s">
        <v>752</v>
      </c>
    </row>
    <row r="42" spans="1:18" x14ac:dyDescent="0.25">
      <c r="A42" t="s">
        <v>28</v>
      </c>
      <c r="B42" t="s">
        <v>196</v>
      </c>
      <c r="C42" t="s">
        <v>103</v>
      </c>
      <c r="D42" t="s">
        <v>197</v>
      </c>
      <c r="E42" t="s">
        <v>549</v>
      </c>
      <c r="F42" t="s">
        <v>199</v>
      </c>
      <c r="G42" t="s">
        <v>104</v>
      </c>
      <c r="H42" t="s">
        <v>198</v>
      </c>
      <c r="I42" t="s">
        <v>115</v>
      </c>
      <c r="J42" t="s">
        <v>29</v>
      </c>
      <c r="K42" t="s">
        <v>101</v>
      </c>
      <c r="L42" t="s">
        <v>328</v>
      </c>
      <c r="M42" s="16" t="s">
        <v>166</v>
      </c>
      <c r="N42" s="16" t="s">
        <v>171</v>
      </c>
      <c r="O42" s="16" t="s">
        <v>550</v>
      </c>
      <c r="P42" s="16" t="s">
        <v>100</v>
      </c>
      <c r="Q42" t="s">
        <v>492</v>
      </c>
      <c r="R42" s="107" t="s">
        <v>342</v>
      </c>
    </row>
    <row r="43" spans="1:18" x14ac:dyDescent="0.25">
      <c r="A43" t="s">
        <v>28</v>
      </c>
      <c r="B43" t="s">
        <v>196</v>
      </c>
      <c r="C43" t="s">
        <v>103</v>
      </c>
      <c r="D43" t="s">
        <v>197</v>
      </c>
      <c r="E43" t="s">
        <v>551</v>
      </c>
      <c r="F43" t="s">
        <v>199</v>
      </c>
      <c r="G43" t="s">
        <v>104</v>
      </c>
      <c r="H43" t="s">
        <v>198</v>
      </c>
      <c r="I43" t="s">
        <v>115</v>
      </c>
      <c r="J43" t="s">
        <v>29</v>
      </c>
      <c r="K43" t="s">
        <v>101</v>
      </c>
      <c r="L43" t="s">
        <v>328</v>
      </c>
      <c r="M43" s="16" t="s">
        <v>166</v>
      </c>
      <c r="N43" s="16" t="s">
        <v>171</v>
      </c>
      <c r="O43" s="16" t="s">
        <v>550</v>
      </c>
      <c r="P43" s="16" t="s">
        <v>100</v>
      </c>
      <c r="Q43" t="s">
        <v>492</v>
      </c>
      <c r="R43" s="107" t="s">
        <v>342</v>
      </c>
    </row>
    <row r="44" spans="1:18" x14ac:dyDescent="0.25">
      <c r="A44" t="s">
        <v>28</v>
      </c>
      <c r="B44" t="s">
        <v>196</v>
      </c>
      <c r="C44" t="s">
        <v>103</v>
      </c>
      <c r="D44" t="s">
        <v>197</v>
      </c>
      <c r="E44" t="s">
        <v>552</v>
      </c>
      <c r="F44" t="s">
        <v>199</v>
      </c>
      <c r="G44" t="s">
        <v>104</v>
      </c>
      <c r="H44" t="s">
        <v>198</v>
      </c>
      <c r="I44" t="s">
        <v>115</v>
      </c>
      <c r="J44" t="s">
        <v>29</v>
      </c>
      <c r="K44" t="s">
        <v>101</v>
      </c>
      <c r="L44" t="s">
        <v>328</v>
      </c>
      <c r="M44" s="16" t="s">
        <v>166</v>
      </c>
      <c r="N44" s="16" t="s">
        <v>171</v>
      </c>
      <c r="O44" s="16" t="s">
        <v>550</v>
      </c>
      <c r="P44" s="16" t="s">
        <v>100</v>
      </c>
      <c r="Q44" t="s">
        <v>492</v>
      </c>
      <c r="R44" s="107" t="s">
        <v>342</v>
      </c>
    </row>
    <row r="45" spans="1:18" x14ac:dyDescent="0.25">
      <c r="A45" t="s">
        <v>28</v>
      </c>
      <c r="B45" t="s">
        <v>196</v>
      </c>
      <c r="C45" t="s">
        <v>103</v>
      </c>
      <c r="D45" t="s">
        <v>197</v>
      </c>
      <c r="E45" t="s">
        <v>553</v>
      </c>
      <c r="F45" t="s">
        <v>199</v>
      </c>
      <c r="G45" t="s">
        <v>104</v>
      </c>
      <c r="H45" t="s">
        <v>198</v>
      </c>
      <c r="I45" t="s">
        <v>115</v>
      </c>
      <c r="J45" t="s">
        <v>29</v>
      </c>
      <c r="K45" t="s">
        <v>101</v>
      </c>
      <c r="L45" t="s">
        <v>328</v>
      </c>
      <c r="M45" s="16" t="s">
        <v>166</v>
      </c>
      <c r="N45" s="16" t="s">
        <v>171</v>
      </c>
      <c r="O45" s="16" t="s">
        <v>550</v>
      </c>
      <c r="P45" s="16" t="s">
        <v>100</v>
      </c>
      <c r="Q45" t="s">
        <v>492</v>
      </c>
      <c r="R45" s="107" t="s">
        <v>342</v>
      </c>
    </row>
    <row r="46" spans="1:18" x14ac:dyDescent="0.25">
      <c r="A46" t="s">
        <v>28</v>
      </c>
      <c r="B46" t="s">
        <v>163</v>
      </c>
      <c r="C46" t="s">
        <v>103</v>
      </c>
      <c r="D46" t="s">
        <v>164</v>
      </c>
      <c r="E46" t="s">
        <v>492</v>
      </c>
      <c r="F46" t="s">
        <v>165</v>
      </c>
      <c r="G46" t="s">
        <v>104</v>
      </c>
      <c r="H46" t="s">
        <v>113</v>
      </c>
      <c r="I46" t="s">
        <v>115</v>
      </c>
      <c r="J46" t="s">
        <v>29</v>
      </c>
      <c r="K46" t="s">
        <v>101</v>
      </c>
      <c r="L46" t="s">
        <v>327</v>
      </c>
      <c r="M46" s="16" t="s">
        <v>108</v>
      </c>
      <c r="N46" s="16" t="s">
        <v>109</v>
      </c>
      <c r="O46" s="16" t="s">
        <v>554</v>
      </c>
      <c r="P46" s="16" t="s">
        <v>100</v>
      </c>
      <c r="Q46" t="s">
        <v>492</v>
      </c>
      <c r="R46" s="107" t="s">
        <v>343</v>
      </c>
    </row>
    <row r="47" spans="1:18" x14ac:dyDescent="0.25">
      <c r="A47" t="s">
        <v>28</v>
      </c>
      <c r="B47" t="s">
        <v>232</v>
      </c>
      <c r="C47" t="s">
        <v>103</v>
      </c>
      <c r="D47" t="s">
        <v>233</v>
      </c>
      <c r="E47" t="s">
        <v>519</v>
      </c>
      <c r="F47" t="s">
        <v>234</v>
      </c>
      <c r="G47" t="s">
        <v>104</v>
      </c>
      <c r="H47" t="s">
        <v>141</v>
      </c>
      <c r="I47" t="s">
        <v>115</v>
      </c>
      <c r="J47" t="s">
        <v>29</v>
      </c>
      <c r="K47" t="s">
        <v>101</v>
      </c>
      <c r="L47" t="s">
        <v>328</v>
      </c>
      <c r="M47" s="16" t="s">
        <v>207</v>
      </c>
      <c r="N47" s="16" t="s">
        <v>212</v>
      </c>
      <c r="O47" s="16" t="s">
        <v>555</v>
      </c>
      <c r="P47" s="16" t="s">
        <v>100</v>
      </c>
      <c r="Q47" t="s">
        <v>492</v>
      </c>
      <c r="R47" s="107" t="s">
        <v>753</v>
      </c>
    </row>
    <row r="48" spans="1:18" x14ac:dyDescent="0.25">
      <c r="A48" t="s">
        <v>28</v>
      </c>
      <c r="B48" t="s">
        <v>400</v>
      </c>
      <c r="C48" t="s">
        <v>103</v>
      </c>
      <c r="D48" t="s">
        <v>242</v>
      </c>
      <c r="E48" t="s">
        <v>492</v>
      </c>
      <c r="F48" t="s">
        <v>243</v>
      </c>
      <c r="G48" t="s">
        <v>104</v>
      </c>
      <c r="H48" t="s">
        <v>113</v>
      </c>
      <c r="I48" t="s">
        <v>115</v>
      </c>
      <c r="J48" t="s">
        <v>29</v>
      </c>
      <c r="K48" t="s">
        <v>101</v>
      </c>
      <c r="L48" t="s">
        <v>327</v>
      </c>
      <c r="M48" s="16" t="s">
        <v>166</v>
      </c>
      <c r="N48" s="16" t="s">
        <v>171</v>
      </c>
      <c r="O48" s="16" t="s">
        <v>556</v>
      </c>
      <c r="P48" s="16" t="s">
        <v>100</v>
      </c>
      <c r="Q48" t="s">
        <v>492</v>
      </c>
      <c r="R48" s="107" t="s">
        <v>401</v>
      </c>
    </row>
    <row r="49" spans="1:18" x14ac:dyDescent="0.25">
      <c r="A49" t="s">
        <v>28</v>
      </c>
      <c r="B49" t="s">
        <v>557</v>
      </c>
      <c r="C49" t="s">
        <v>103</v>
      </c>
      <c r="D49" t="s">
        <v>558</v>
      </c>
      <c r="E49" t="s">
        <v>559</v>
      </c>
      <c r="F49" t="s">
        <v>560</v>
      </c>
      <c r="G49" t="s">
        <v>104</v>
      </c>
      <c r="H49" t="s">
        <v>561</v>
      </c>
      <c r="I49" t="s">
        <v>562</v>
      </c>
      <c r="J49" t="s">
        <v>29</v>
      </c>
      <c r="K49" t="s">
        <v>101</v>
      </c>
      <c r="L49" t="s">
        <v>328</v>
      </c>
      <c r="M49" s="16" t="s">
        <v>216</v>
      </c>
      <c r="N49" s="16" t="s">
        <v>217</v>
      </c>
      <c r="O49" s="16" t="s">
        <v>563</v>
      </c>
      <c r="P49" s="16" t="s">
        <v>100</v>
      </c>
      <c r="Q49" t="s">
        <v>492</v>
      </c>
      <c r="R49" s="107" t="s">
        <v>339</v>
      </c>
    </row>
    <row r="50" spans="1:18" x14ac:dyDescent="0.25">
      <c r="A50" t="s">
        <v>28</v>
      </c>
      <c r="B50" t="s">
        <v>564</v>
      </c>
      <c r="C50" t="s">
        <v>103</v>
      </c>
      <c r="D50" t="s">
        <v>565</v>
      </c>
      <c r="E50" t="s">
        <v>566</v>
      </c>
      <c r="F50" t="s">
        <v>560</v>
      </c>
      <c r="G50" t="s">
        <v>104</v>
      </c>
      <c r="H50" t="s">
        <v>567</v>
      </c>
      <c r="I50" t="s">
        <v>562</v>
      </c>
      <c r="J50" t="s">
        <v>29</v>
      </c>
      <c r="K50" t="s">
        <v>101</v>
      </c>
      <c r="L50" t="s">
        <v>328</v>
      </c>
      <c r="M50" s="16" t="s">
        <v>216</v>
      </c>
      <c r="N50" s="16" t="s">
        <v>217</v>
      </c>
      <c r="O50" s="16" t="s">
        <v>563</v>
      </c>
      <c r="P50" s="16" t="s">
        <v>100</v>
      </c>
      <c r="Q50" t="s">
        <v>492</v>
      </c>
      <c r="R50" s="107" t="s">
        <v>339</v>
      </c>
    </row>
    <row r="51" spans="1:18" x14ac:dyDescent="0.25">
      <c r="A51" t="s">
        <v>28</v>
      </c>
      <c r="B51" t="s">
        <v>399</v>
      </c>
      <c r="C51" t="s">
        <v>103</v>
      </c>
      <c r="D51" t="s">
        <v>240</v>
      </c>
      <c r="E51" t="s">
        <v>492</v>
      </c>
      <c r="F51" t="s">
        <v>241</v>
      </c>
      <c r="G51" t="s">
        <v>104</v>
      </c>
      <c r="H51" t="s">
        <v>113</v>
      </c>
      <c r="I51" t="s">
        <v>115</v>
      </c>
      <c r="J51" t="s">
        <v>29</v>
      </c>
      <c r="K51" t="s">
        <v>101</v>
      </c>
      <c r="L51" t="s">
        <v>327</v>
      </c>
      <c r="M51" s="16" t="s">
        <v>166</v>
      </c>
      <c r="N51" s="16" t="s">
        <v>171</v>
      </c>
      <c r="O51" s="16" t="s">
        <v>568</v>
      </c>
      <c r="P51" s="16" t="s">
        <v>100</v>
      </c>
      <c r="Q51" t="s">
        <v>492</v>
      </c>
      <c r="R51" s="107" t="s">
        <v>754</v>
      </c>
    </row>
    <row r="52" spans="1:18" x14ac:dyDescent="0.25">
      <c r="A52" t="s">
        <v>28</v>
      </c>
      <c r="B52" t="s">
        <v>557</v>
      </c>
      <c r="C52" t="s">
        <v>103</v>
      </c>
      <c r="D52" t="s">
        <v>558</v>
      </c>
      <c r="E52" t="s">
        <v>569</v>
      </c>
      <c r="F52" t="s">
        <v>560</v>
      </c>
      <c r="G52" t="s">
        <v>104</v>
      </c>
      <c r="H52" t="s">
        <v>561</v>
      </c>
      <c r="I52" t="s">
        <v>562</v>
      </c>
      <c r="J52" t="s">
        <v>29</v>
      </c>
      <c r="K52" t="s">
        <v>101</v>
      </c>
      <c r="L52" t="s">
        <v>328</v>
      </c>
      <c r="M52" s="16" t="s">
        <v>216</v>
      </c>
      <c r="N52" s="16" t="s">
        <v>217</v>
      </c>
      <c r="O52" s="16" t="s">
        <v>570</v>
      </c>
      <c r="P52" s="16" t="s">
        <v>100</v>
      </c>
      <c r="Q52" t="s">
        <v>492</v>
      </c>
      <c r="R52" s="107" t="s">
        <v>755</v>
      </c>
    </row>
    <row r="53" spans="1:18" x14ac:dyDescent="0.25">
      <c r="A53" t="s">
        <v>28</v>
      </c>
      <c r="B53" t="s">
        <v>564</v>
      </c>
      <c r="C53" t="s">
        <v>103</v>
      </c>
      <c r="D53" t="s">
        <v>565</v>
      </c>
      <c r="E53" t="s">
        <v>571</v>
      </c>
      <c r="F53" t="s">
        <v>560</v>
      </c>
      <c r="G53" t="s">
        <v>104</v>
      </c>
      <c r="H53" t="s">
        <v>567</v>
      </c>
      <c r="I53" t="s">
        <v>562</v>
      </c>
      <c r="J53" t="s">
        <v>29</v>
      </c>
      <c r="K53" t="s">
        <v>101</v>
      </c>
      <c r="L53" t="s">
        <v>328</v>
      </c>
      <c r="M53" s="16" t="s">
        <v>216</v>
      </c>
      <c r="N53" s="16" t="s">
        <v>217</v>
      </c>
      <c r="O53" s="16" t="s">
        <v>570</v>
      </c>
      <c r="P53" s="16" t="s">
        <v>100</v>
      </c>
      <c r="Q53" t="s">
        <v>492</v>
      </c>
      <c r="R53" s="107" t="s">
        <v>755</v>
      </c>
    </row>
    <row r="54" spans="1:18" x14ac:dyDescent="0.25">
      <c r="A54" t="s">
        <v>28</v>
      </c>
      <c r="B54" t="s">
        <v>572</v>
      </c>
      <c r="C54" t="s">
        <v>103</v>
      </c>
      <c r="D54" t="s">
        <v>573</v>
      </c>
      <c r="E54" t="s">
        <v>543</v>
      </c>
      <c r="F54" t="s">
        <v>574</v>
      </c>
      <c r="G54" t="s">
        <v>104</v>
      </c>
      <c r="H54" t="s">
        <v>205</v>
      </c>
      <c r="I54" t="s">
        <v>115</v>
      </c>
      <c r="J54" t="s">
        <v>29</v>
      </c>
      <c r="K54" t="s">
        <v>101</v>
      </c>
      <c r="L54" t="s">
        <v>328</v>
      </c>
      <c r="M54" s="16" t="s">
        <v>102</v>
      </c>
      <c r="N54" s="16" t="s">
        <v>107</v>
      </c>
      <c r="O54" s="16" t="s">
        <v>575</v>
      </c>
      <c r="P54" s="16" t="s">
        <v>100</v>
      </c>
      <c r="Q54" t="s">
        <v>492</v>
      </c>
      <c r="R54" s="107" t="s">
        <v>756</v>
      </c>
    </row>
    <row r="55" spans="1:18" x14ac:dyDescent="0.25">
      <c r="A55" t="s">
        <v>28</v>
      </c>
      <c r="B55" t="s">
        <v>414</v>
      </c>
      <c r="C55" t="s">
        <v>103</v>
      </c>
      <c r="D55" t="s">
        <v>415</v>
      </c>
      <c r="E55" t="s">
        <v>576</v>
      </c>
      <c r="F55" t="s">
        <v>416</v>
      </c>
      <c r="G55" t="s">
        <v>104</v>
      </c>
      <c r="H55" t="s">
        <v>577</v>
      </c>
      <c r="I55" t="s">
        <v>115</v>
      </c>
      <c r="J55" t="s">
        <v>29</v>
      </c>
      <c r="K55" t="s">
        <v>101</v>
      </c>
      <c r="L55" t="s">
        <v>328</v>
      </c>
      <c r="M55" s="16" t="s">
        <v>207</v>
      </c>
      <c r="N55" s="16" t="s">
        <v>212</v>
      </c>
      <c r="O55" s="16" t="s">
        <v>578</v>
      </c>
      <c r="P55" s="16" t="s">
        <v>100</v>
      </c>
      <c r="Q55" t="s">
        <v>492</v>
      </c>
      <c r="R55" s="107" t="s">
        <v>456</v>
      </c>
    </row>
    <row r="56" spans="1:18" x14ac:dyDescent="0.25">
      <c r="A56" t="s">
        <v>28</v>
      </c>
      <c r="B56" t="s">
        <v>223</v>
      </c>
      <c r="C56" t="s">
        <v>103</v>
      </c>
      <c r="D56" t="s">
        <v>224</v>
      </c>
      <c r="E56" t="s">
        <v>492</v>
      </c>
      <c r="F56" t="s">
        <v>225</v>
      </c>
      <c r="G56" t="s">
        <v>104</v>
      </c>
      <c r="H56" t="s">
        <v>113</v>
      </c>
      <c r="I56" t="s">
        <v>115</v>
      </c>
      <c r="J56" t="s">
        <v>29</v>
      </c>
      <c r="K56" t="s">
        <v>101</v>
      </c>
      <c r="L56" t="s">
        <v>327</v>
      </c>
      <c r="M56" s="16" t="s">
        <v>207</v>
      </c>
      <c r="N56" s="16" t="s">
        <v>212</v>
      </c>
      <c r="O56" s="16" t="s">
        <v>578</v>
      </c>
      <c r="P56" s="16" t="s">
        <v>100</v>
      </c>
      <c r="Q56" t="s">
        <v>492</v>
      </c>
      <c r="R56" s="107" t="s">
        <v>456</v>
      </c>
    </row>
    <row r="57" spans="1:18" x14ac:dyDescent="0.25">
      <c r="A57" t="s">
        <v>28</v>
      </c>
      <c r="B57" t="s">
        <v>226</v>
      </c>
      <c r="C57" t="s">
        <v>103</v>
      </c>
      <c r="D57" t="s">
        <v>227</v>
      </c>
      <c r="E57" t="s">
        <v>492</v>
      </c>
      <c r="F57" t="s">
        <v>228</v>
      </c>
      <c r="G57" t="s">
        <v>104</v>
      </c>
      <c r="H57" t="s">
        <v>113</v>
      </c>
      <c r="I57" t="s">
        <v>115</v>
      </c>
      <c r="J57" t="s">
        <v>29</v>
      </c>
      <c r="K57" t="s">
        <v>101</v>
      </c>
      <c r="L57" t="s">
        <v>327</v>
      </c>
      <c r="M57" s="16" t="s">
        <v>207</v>
      </c>
      <c r="N57" s="16" t="s">
        <v>212</v>
      </c>
      <c r="O57" s="16" t="s">
        <v>578</v>
      </c>
      <c r="P57" s="16" t="s">
        <v>100</v>
      </c>
      <c r="Q57" t="s">
        <v>492</v>
      </c>
      <c r="R57" s="107" t="s">
        <v>456</v>
      </c>
    </row>
    <row r="58" spans="1:18" x14ac:dyDescent="0.25">
      <c r="A58" t="s">
        <v>28</v>
      </c>
      <c r="B58" t="s">
        <v>229</v>
      </c>
      <c r="C58" t="s">
        <v>103</v>
      </c>
      <c r="D58" t="s">
        <v>230</v>
      </c>
      <c r="E58" t="s">
        <v>492</v>
      </c>
      <c r="F58" t="s">
        <v>231</v>
      </c>
      <c r="G58" t="s">
        <v>104</v>
      </c>
      <c r="H58" t="s">
        <v>113</v>
      </c>
      <c r="I58" t="s">
        <v>115</v>
      </c>
      <c r="J58" t="s">
        <v>29</v>
      </c>
      <c r="K58" t="s">
        <v>101</v>
      </c>
      <c r="L58" t="s">
        <v>327</v>
      </c>
      <c r="M58" s="16" t="s">
        <v>207</v>
      </c>
      <c r="N58" s="16" t="s">
        <v>212</v>
      </c>
      <c r="O58" s="16" t="s">
        <v>578</v>
      </c>
      <c r="P58" s="16" t="s">
        <v>100</v>
      </c>
      <c r="Q58" t="s">
        <v>492</v>
      </c>
      <c r="R58" s="107" t="s">
        <v>456</v>
      </c>
    </row>
    <row r="59" spans="1:18" x14ac:dyDescent="0.25">
      <c r="A59" t="s">
        <v>28</v>
      </c>
      <c r="B59" t="s">
        <v>387</v>
      </c>
      <c r="C59" t="s">
        <v>103</v>
      </c>
      <c r="D59" t="s">
        <v>388</v>
      </c>
      <c r="E59" t="s">
        <v>492</v>
      </c>
      <c r="F59" t="s">
        <v>389</v>
      </c>
      <c r="G59" t="s">
        <v>104</v>
      </c>
      <c r="H59" t="s">
        <v>113</v>
      </c>
      <c r="I59" t="s">
        <v>115</v>
      </c>
      <c r="J59" t="s">
        <v>29</v>
      </c>
      <c r="K59" t="s">
        <v>101</v>
      </c>
      <c r="L59" t="s">
        <v>327</v>
      </c>
      <c r="M59" s="16" t="s">
        <v>207</v>
      </c>
      <c r="N59" s="16" t="s">
        <v>212</v>
      </c>
      <c r="O59" s="16" t="s">
        <v>578</v>
      </c>
      <c r="P59" s="16" t="s">
        <v>100</v>
      </c>
      <c r="Q59" t="s">
        <v>492</v>
      </c>
      <c r="R59" s="107" t="s">
        <v>456</v>
      </c>
    </row>
    <row r="60" spans="1:18" x14ac:dyDescent="0.25">
      <c r="A60" t="s">
        <v>28</v>
      </c>
      <c r="B60" t="s">
        <v>235</v>
      </c>
      <c r="C60" t="s">
        <v>103</v>
      </c>
      <c r="D60" t="s">
        <v>236</v>
      </c>
      <c r="E60" t="s">
        <v>579</v>
      </c>
      <c r="F60" t="s">
        <v>238</v>
      </c>
      <c r="G60" t="s">
        <v>104</v>
      </c>
      <c r="H60" t="s">
        <v>237</v>
      </c>
      <c r="I60" t="s">
        <v>115</v>
      </c>
      <c r="J60" t="s">
        <v>29</v>
      </c>
      <c r="K60" t="s">
        <v>101</v>
      </c>
      <c r="L60" t="s">
        <v>328</v>
      </c>
      <c r="M60" s="16" t="s">
        <v>207</v>
      </c>
      <c r="N60" s="16" t="s">
        <v>212</v>
      </c>
      <c r="O60" s="16" t="s">
        <v>578</v>
      </c>
      <c r="P60" s="16" t="s">
        <v>100</v>
      </c>
      <c r="Q60" t="s">
        <v>492</v>
      </c>
      <c r="R60" s="107" t="s">
        <v>456</v>
      </c>
    </row>
    <row r="61" spans="1:18" x14ac:dyDescent="0.25">
      <c r="A61" t="s">
        <v>28</v>
      </c>
      <c r="B61" t="s">
        <v>208</v>
      </c>
      <c r="C61" t="s">
        <v>103</v>
      </c>
      <c r="D61" t="s">
        <v>209</v>
      </c>
      <c r="E61" t="s">
        <v>580</v>
      </c>
      <c r="F61" t="s">
        <v>211</v>
      </c>
      <c r="G61" t="s">
        <v>104</v>
      </c>
      <c r="H61" t="s">
        <v>210</v>
      </c>
      <c r="I61" t="s">
        <v>115</v>
      </c>
      <c r="J61" t="s">
        <v>29</v>
      </c>
      <c r="K61" t="s">
        <v>101</v>
      </c>
      <c r="L61" t="s">
        <v>328</v>
      </c>
      <c r="M61" s="16" t="s">
        <v>207</v>
      </c>
      <c r="N61" s="16" t="s">
        <v>212</v>
      </c>
      <c r="O61" s="16" t="s">
        <v>578</v>
      </c>
      <c r="P61" s="16" t="s">
        <v>100</v>
      </c>
      <c r="Q61" t="s">
        <v>492</v>
      </c>
      <c r="R61" s="107" t="s">
        <v>456</v>
      </c>
    </row>
    <row r="62" spans="1:18" x14ac:dyDescent="0.25">
      <c r="A62" t="s">
        <v>28</v>
      </c>
      <c r="B62" t="s">
        <v>208</v>
      </c>
      <c r="C62" t="s">
        <v>103</v>
      </c>
      <c r="D62" t="s">
        <v>209</v>
      </c>
      <c r="E62" t="s">
        <v>581</v>
      </c>
      <c r="F62" t="s">
        <v>211</v>
      </c>
      <c r="G62" t="s">
        <v>104</v>
      </c>
      <c r="H62" t="s">
        <v>210</v>
      </c>
      <c r="I62" t="s">
        <v>115</v>
      </c>
      <c r="J62" t="s">
        <v>29</v>
      </c>
      <c r="K62" t="s">
        <v>101</v>
      </c>
      <c r="L62" t="s">
        <v>328</v>
      </c>
      <c r="M62" s="16" t="s">
        <v>207</v>
      </c>
      <c r="N62" s="16" t="s">
        <v>212</v>
      </c>
      <c r="O62" s="16" t="s">
        <v>578</v>
      </c>
      <c r="P62" s="16" t="s">
        <v>100</v>
      </c>
      <c r="Q62" t="s">
        <v>492</v>
      </c>
      <c r="R62" s="107" t="s">
        <v>456</v>
      </c>
    </row>
    <row r="63" spans="1:18" x14ac:dyDescent="0.25">
      <c r="A63" t="s">
        <v>28</v>
      </c>
      <c r="B63" t="s">
        <v>213</v>
      </c>
      <c r="C63" t="s">
        <v>103</v>
      </c>
      <c r="D63" t="s">
        <v>214</v>
      </c>
      <c r="E63" t="s">
        <v>581</v>
      </c>
      <c r="F63" t="s">
        <v>215</v>
      </c>
      <c r="G63" t="s">
        <v>582</v>
      </c>
      <c r="H63" t="s">
        <v>210</v>
      </c>
      <c r="I63" t="s">
        <v>115</v>
      </c>
      <c r="J63" t="s">
        <v>29</v>
      </c>
      <c r="K63" t="s">
        <v>101</v>
      </c>
      <c r="L63" t="s">
        <v>328</v>
      </c>
      <c r="M63" s="16" t="s">
        <v>207</v>
      </c>
      <c r="N63" s="16" t="s">
        <v>212</v>
      </c>
      <c r="O63" s="16" t="s">
        <v>578</v>
      </c>
      <c r="P63" s="16" t="s">
        <v>100</v>
      </c>
      <c r="Q63" t="s">
        <v>492</v>
      </c>
      <c r="R63" s="107" t="s">
        <v>456</v>
      </c>
    </row>
    <row r="64" spans="1:18" x14ac:dyDescent="0.25">
      <c r="A64" t="s">
        <v>28</v>
      </c>
      <c r="B64" t="s">
        <v>208</v>
      </c>
      <c r="C64" t="s">
        <v>103</v>
      </c>
      <c r="D64" t="s">
        <v>209</v>
      </c>
      <c r="E64" t="s">
        <v>583</v>
      </c>
      <c r="F64" t="s">
        <v>211</v>
      </c>
      <c r="G64" t="s">
        <v>104</v>
      </c>
      <c r="H64" t="s">
        <v>210</v>
      </c>
      <c r="I64" t="s">
        <v>115</v>
      </c>
      <c r="J64" t="s">
        <v>29</v>
      </c>
      <c r="K64" t="s">
        <v>101</v>
      </c>
      <c r="L64" t="s">
        <v>328</v>
      </c>
      <c r="M64" s="16" t="s">
        <v>207</v>
      </c>
      <c r="N64" s="16" t="s">
        <v>212</v>
      </c>
      <c r="O64" s="16" t="s">
        <v>578</v>
      </c>
      <c r="P64" s="16" t="s">
        <v>100</v>
      </c>
      <c r="Q64" t="s">
        <v>492</v>
      </c>
      <c r="R64" s="107" t="s">
        <v>456</v>
      </c>
    </row>
    <row r="65" spans="1:18" x14ac:dyDescent="0.25">
      <c r="A65" t="s">
        <v>28</v>
      </c>
      <c r="B65" t="s">
        <v>213</v>
      </c>
      <c r="C65" t="s">
        <v>103</v>
      </c>
      <c r="D65" t="s">
        <v>214</v>
      </c>
      <c r="E65" t="s">
        <v>583</v>
      </c>
      <c r="F65" t="s">
        <v>215</v>
      </c>
      <c r="G65" t="s">
        <v>239</v>
      </c>
      <c r="H65" t="s">
        <v>210</v>
      </c>
      <c r="I65" t="s">
        <v>115</v>
      </c>
      <c r="J65" t="s">
        <v>29</v>
      </c>
      <c r="K65" t="s">
        <v>101</v>
      </c>
      <c r="L65" t="s">
        <v>328</v>
      </c>
      <c r="M65" s="16" t="s">
        <v>207</v>
      </c>
      <c r="N65" s="16" t="s">
        <v>212</v>
      </c>
      <c r="O65" s="16" t="s">
        <v>578</v>
      </c>
      <c r="P65" s="16" t="s">
        <v>100</v>
      </c>
      <c r="Q65" t="s">
        <v>492</v>
      </c>
      <c r="R65" s="107" t="s">
        <v>456</v>
      </c>
    </row>
    <row r="66" spans="1:18" x14ac:dyDescent="0.25">
      <c r="A66" t="s">
        <v>28</v>
      </c>
      <c r="B66" t="s">
        <v>208</v>
      </c>
      <c r="C66" t="s">
        <v>103</v>
      </c>
      <c r="D66" t="s">
        <v>209</v>
      </c>
      <c r="E66" t="s">
        <v>584</v>
      </c>
      <c r="F66" t="s">
        <v>211</v>
      </c>
      <c r="G66" t="s">
        <v>104</v>
      </c>
      <c r="H66" t="s">
        <v>210</v>
      </c>
      <c r="I66" t="s">
        <v>115</v>
      </c>
      <c r="J66" t="s">
        <v>29</v>
      </c>
      <c r="K66" t="s">
        <v>101</v>
      </c>
      <c r="L66" t="s">
        <v>328</v>
      </c>
      <c r="M66" s="16" t="s">
        <v>207</v>
      </c>
      <c r="N66" s="16" t="s">
        <v>212</v>
      </c>
      <c r="O66" s="16" t="s">
        <v>578</v>
      </c>
      <c r="P66" s="16" t="s">
        <v>100</v>
      </c>
      <c r="Q66" t="s">
        <v>492</v>
      </c>
      <c r="R66" s="107" t="s">
        <v>456</v>
      </c>
    </row>
    <row r="67" spans="1:18" x14ac:dyDescent="0.25">
      <c r="A67" t="s">
        <v>28</v>
      </c>
      <c r="B67" t="s">
        <v>213</v>
      </c>
      <c r="C67" t="s">
        <v>103</v>
      </c>
      <c r="D67" t="s">
        <v>214</v>
      </c>
      <c r="E67" t="s">
        <v>584</v>
      </c>
      <c r="F67" t="s">
        <v>215</v>
      </c>
      <c r="G67" t="s">
        <v>582</v>
      </c>
      <c r="H67" t="s">
        <v>210</v>
      </c>
      <c r="I67" t="s">
        <v>115</v>
      </c>
      <c r="J67" t="s">
        <v>29</v>
      </c>
      <c r="K67" t="s">
        <v>101</v>
      </c>
      <c r="L67" t="s">
        <v>328</v>
      </c>
      <c r="M67" s="16" t="s">
        <v>207</v>
      </c>
      <c r="N67" s="16" t="s">
        <v>212</v>
      </c>
      <c r="O67" s="16" t="s">
        <v>578</v>
      </c>
      <c r="P67" s="16" t="s">
        <v>100</v>
      </c>
      <c r="Q67" t="s">
        <v>492</v>
      </c>
      <c r="R67" s="107" t="s">
        <v>456</v>
      </c>
    </row>
    <row r="68" spans="1:18" x14ac:dyDescent="0.25">
      <c r="A68" t="s">
        <v>28</v>
      </c>
      <c r="B68" t="s">
        <v>220</v>
      </c>
      <c r="C68" t="s">
        <v>103</v>
      </c>
      <c r="D68" t="s">
        <v>221</v>
      </c>
      <c r="E68" t="s">
        <v>495</v>
      </c>
      <c r="F68" t="s">
        <v>222</v>
      </c>
      <c r="G68" t="s">
        <v>124</v>
      </c>
      <c r="H68" t="s">
        <v>105</v>
      </c>
      <c r="I68" t="s">
        <v>106</v>
      </c>
      <c r="J68" t="s">
        <v>29</v>
      </c>
      <c r="K68" t="s">
        <v>101</v>
      </c>
      <c r="L68" t="s">
        <v>326</v>
      </c>
      <c r="M68" s="16" t="s">
        <v>166</v>
      </c>
      <c r="N68" s="16" t="s">
        <v>171</v>
      </c>
      <c r="O68" s="16" t="s">
        <v>585</v>
      </c>
      <c r="P68" s="16" t="s">
        <v>100</v>
      </c>
      <c r="Q68" t="s">
        <v>492</v>
      </c>
      <c r="R68" s="107" t="s">
        <v>757</v>
      </c>
    </row>
    <row r="69" spans="1:18" x14ac:dyDescent="0.25">
      <c r="A69" t="s">
        <v>28</v>
      </c>
      <c r="B69" t="s">
        <v>220</v>
      </c>
      <c r="C69" t="s">
        <v>103</v>
      </c>
      <c r="D69" t="s">
        <v>221</v>
      </c>
      <c r="E69" t="s">
        <v>505</v>
      </c>
      <c r="F69" t="s">
        <v>222</v>
      </c>
      <c r="G69" t="s">
        <v>124</v>
      </c>
      <c r="H69" t="s">
        <v>105</v>
      </c>
      <c r="I69" t="s">
        <v>106</v>
      </c>
      <c r="J69" t="s">
        <v>29</v>
      </c>
      <c r="K69" t="s">
        <v>101</v>
      </c>
      <c r="L69" t="s">
        <v>326</v>
      </c>
      <c r="M69" s="16" t="s">
        <v>166</v>
      </c>
      <c r="N69" s="16" t="s">
        <v>171</v>
      </c>
      <c r="O69" s="16" t="s">
        <v>585</v>
      </c>
      <c r="P69" s="16" t="s">
        <v>100</v>
      </c>
      <c r="Q69" t="s">
        <v>492</v>
      </c>
      <c r="R69" s="107" t="s">
        <v>757</v>
      </c>
    </row>
    <row r="70" spans="1:18" x14ac:dyDescent="0.25">
      <c r="A70" t="s">
        <v>28</v>
      </c>
      <c r="B70" t="s">
        <v>404</v>
      </c>
      <c r="C70" t="s">
        <v>103</v>
      </c>
      <c r="D70" t="s">
        <v>405</v>
      </c>
      <c r="E70" t="s">
        <v>492</v>
      </c>
      <c r="F70" t="s">
        <v>406</v>
      </c>
      <c r="G70" t="s">
        <v>104</v>
      </c>
      <c r="H70" t="s">
        <v>113</v>
      </c>
      <c r="I70" t="s">
        <v>115</v>
      </c>
      <c r="J70" t="s">
        <v>29</v>
      </c>
      <c r="K70" t="s">
        <v>101</v>
      </c>
      <c r="L70" t="s">
        <v>327</v>
      </c>
      <c r="M70" s="16" t="s">
        <v>166</v>
      </c>
      <c r="N70" s="16" t="s">
        <v>171</v>
      </c>
      <c r="O70" s="16" t="s">
        <v>585</v>
      </c>
      <c r="P70" s="16" t="s">
        <v>100</v>
      </c>
      <c r="Q70" t="s">
        <v>492</v>
      </c>
      <c r="R70" s="107" t="s">
        <v>757</v>
      </c>
    </row>
    <row r="71" spans="1:18" x14ac:dyDescent="0.25">
      <c r="A71" t="s">
        <v>28</v>
      </c>
      <c r="B71" t="s">
        <v>172</v>
      </c>
      <c r="C71" t="s">
        <v>103</v>
      </c>
      <c r="D71" t="s">
        <v>173</v>
      </c>
      <c r="E71" t="s">
        <v>492</v>
      </c>
      <c r="F71" t="s">
        <v>174</v>
      </c>
      <c r="G71" t="s">
        <v>104</v>
      </c>
      <c r="H71" t="s">
        <v>113</v>
      </c>
      <c r="I71" t="s">
        <v>115</v>
      </c>
      <c r="J71" t="s">
        <v>29</v>
      </c>
      <c r="K71" t="s">
        <v>101</v>
      </c>
      <c r="L71" t="s">
        <v>327</v>
      </c>
      <c r="M71" s="16" t="s">
        <v>166</v>
      </c>
      <c r="N71" s="16" t="s">
        <v>175</v>
      </c>
      <c r="O71" s="16" t="s">
        <v>585</v>
      </c>
      <c r="P71" s="16" t="s">
        <v>100</v>
      </c>
      <c r="Q71" t="s">
        <v>492</v>
      </c>
      <c r="R71" s="107" t="s">
        <v>757</v>
      </c>
    </row>
    <row r="72" spans="1:18" x14ac:dyDescent="0.25">
      <c r="A72" t="s">
        <v>28</v>
      </c>
      <c r="B72" t="s">
        <v>390</v>
      </c>
      <c r="C72" t="s">
        <v>103</v>
      </c>
      <c r="D72" t="s">
        <v>391</v>
      </c>
      <c r="E72" t="s">
        <v>492</v>
      </c>
      <c r="F72" t="s">
        <v>392</v>
      </c>
      <c r="G72" t="s">
        <v>104</v>
      </c>
      <c r="H72" t="s">
        <v>113</v>
      </c>
      <c r="I72" t="s">
        <v>115</v>
      </c>
      <c r="J72" t="s">
        <v>29</v>
      </c>
      <c r="K72" t="s">
        <v>101</v>
      </c>
      <c r="L72" t="s">
        <v>327</v>
      </c>
      <c r="M72" s="16" t="s">
        <v>102</v>
      </c>
      <c r="N72" s="16" t="s">
        <v>107</v>
      </c>
      <c r="O72" s="16" t="s">
        <v>586</v>
      </c>
      <c r="P72" s="16" t="s">
        <v>100</v>
      </c>
      <c r="Q72" t="s">
        <v>492</v>
      </c>
      <c r="R72" s="107" t="s">
        <v>758</v>
      </c>
    </row>
    <row r="73" spans="1:18" x14ac:dyDescent="0.25">
      <c r="A73" t="s">
        <v>55</v>
      </c>
      <c r="B73" t="s">
        <v>245</v>
      </c>
      <c r="C73" t="s">
        <v>103</v>
      </c>
      <c r="D73" t="s">
        <v>246</v>
      </c>
      <c r="E73" t="s">
        <v>495</v>
      </c>
      <c r="F73" t="s">
        <v>247</v>
      </c>
      <c r="G73" t="s">
        <v>104</v>
      </c>
      <c r="H73" t="s">
        <v>105</v>
      </c>
      <c r="I73" t="s">
        <v>106</v>
      </c>
      <c r="J73" t="s">
        <v>54</v>
      </c>
      <c r="K73" t="s">
        <v>101</v>
      </c>
      <c r="L73" t="s">
        <v>326</v>
      </c>
      <c r="M73" s="3" t="s">
        <v>254</v>
      </c>
      <c r="N73" s="3" t="s">
        <v>248</v>
      </c>
      <c r="O73" s="3" t="s">
        <v>587</v>
      </c>
      <c r="P73" s="3" t="s">
        <v>244</v>
      </c>
      <c r="Q73" t="s">
        <v>492</v>
      </c>
      <c r="R73" s="107" t="s">
        <v>419</v>
      </c>
    </row>
    <row r="74" spans="1:18" x14ac:dyDescent="0.25">
      <c r="A74" t="s">
        <v>53</v>
      </c>
      <c r="B74" t="s">
        <v>250</v>
      </c>
      <c r="C74" t="s">
        <v>103</v>
      </c>
      <c r="D74" t="s">
        <v>251</v>
      </c>
      <c r="E74" t="s">
        <v>495</v>
      </c>
      <c r="F74" t="s">
        <v>252</v>
      </c>
      <c r="G74" t="s">
        <v>104</v>
      </c>
      <c r="H74" t="s">
        <v>105</v>
      </c>
      <c r="I74" t="s">
        <v>106</v>
      </c>
      <c r="J74" t="s">
        <v>54</v>
      </c>
      <c r="K74" t="s">
        <v>101</v>
      </c>
      <c r="L74" t="s">
        <v>326</v>
      </c>
      <c r="M74" s="3" t="s">
        <v>249</v>
      </c>
      <c r="N74" s="3" t="s">
        <v>253</v>
      </c>
      <c r="O74" s="3" t="s">
        <v>249</v>
      </c>
      <c r="P74" s="3" t="s">
        <v>244</v>
      </c>
      <c r="Q74" t="s">
        <v>492</v>
      </c>
      <c r="R74" s="107" t="s">
        <v>759</v>
      </c>
    </row>
    <row r="75" spans="1:18" x14ac:dyDescent="0.25">
      <c r="A75" t="s">
        <v>64</v>
      </c>
      <c r="B75" t="s">
        <v>245</v>
      </c>
      <c r="C75" t="s">
        <v>103</v>
      </c>
      <c r="D75" t="s">
        <v>246</v>
      </c>
      <c r="E75" t="s">
        <v>505</v>
      </c>
      <c r="F75" t="s">
        <v>247</v>
      </c>
      <c r="G75" t="s">
        <v>104</v>
      </c>
      <c r="H75" t="s">
        <v>105</v>
      </c>
      <c r="I75" t="s">
        <v>106</v>
      </c>
      <c r="J75" t="s">
        <v>63</v>
      </c>
      <c r="K75" t="s">
        <v>101</v>
      </c>
      <c r="L75" t="s">
        <v>326</v>
      </c>
      <c r="M75" s="3" t="s">
        <v>254</v>
      </c>
      <c r="N75" s="3" t="s">
        <v>248</v>
      </c>
      <c r="O75" s="3" t="s">
        <v>254</v>
      </c>
      <c r="P75" s="3" t="s">
        <v>244</v>
      </c>
      <c r="Q75" t="s">
        <v>492</v>
      </c>
      <c r="R75" s="107" t="s">
        <v>759</v>
      </c>
    </row>
    <row r="76" spans="1:18" x14ac:dyDescent="0.25">
      <c r="A76" t="s">
        <v>62</v>
      </c>
      <c r="B76" t="s">
        <v>250</v>
      </c>
      <c r="C76" t="s">
        <v>103</v>
      </c>
      <c r="D76" t="s">
        <v>251</v>
      </c>
      <c r="E76" t="s">
        <v>505</v>
      </c>
      <c r="F76" t="s">
        <v>252</v>
      </c>
      <c r="G76" t="s">
        <v>104</v>
      </c>
      <c r="H76" t="s">
        <v>105</v>
      </c>
      <c r="I76" t="s">
        <v>106</v>
      </c>
      <c r="J76" t="s">
        <v>63</v>
      </c>
      <c r="K76" t="s">
        <v>101</v>
      </c>
      <c r="L76" t="s">
        <v>326</v>
      </c>
      <c r="M76" s="3" t="s">
        <v>249</v>
      </c>
      <c r="N76" s="3" t="s">
        <v>253</v>
      </c>
      <c r="O76" s="3" t="s">
        <v>249</v>
      </c>
      <c r="P76" s="3" t="s">
        <v>244</v>
      </c>
      <c r="Q76" t="s">
        <v>492</v>
      </c>
      <c r="R76" s="107" t="s">
        <v>759</v>
      </c>
    </row>
    <row r="77" spans="1:18" x14ac:dyDescent="0.25">
      <c r="A77" t="s">
        <v>18</v>
      </c>
      <c r="B77" t="s">
        <v>256</v>
      </c>
      <c r="C77" t="s">
        <v>103</v>
      </c>
      <c r="D77" t="s">
        <v>257</v>
      </c>
      <c r="E77" t="s">
        <v>505</v>
      </c>
      <c r="F77" t="s">
        <v>258</v>
      </c>
      <c r="G77" t="s">
        <v>104</v>
      </c>
      <c r="H77" t="s">
        <v>105</v>
      </c>
      <c r="I77" t="s">
        <v>106</v>
      </c>
      <c r="J77" t="s">
        <v>19</v>
      </c>
      <c r="K77" t="s">
        <v>101</v>
      </c>
      <c r="L77" t="s">
        <v>326</v>
      </c>
      <c r="M77" s="3" t="s">
        <v>255</v>
      </c>
      <c r="N77" s="3" t="s">
        <v>255</v>
      </c>
      <c r="O77" s="3" t="s">
        <v>588</v>
      </c>
      <c r="P77" s="3" t="s">
        <v>244</v>
      </c>
      <c r="Q77" t="s">
        <v>492</v>
      </c>
      <c r="R77" s="107" t="s">
        <v>760</v>
      </c>
    </row>
    <row r="78" spans="1:18" x14ac:dyDescent="0.25">
      <c r="A78" t="s">
        <v>18</v>
      </c>
      <c r="B78" t="s">
        <v>256</v>
      </c>
      <c r="C78" t="s">
        <v>103</v>
      </c>
      <c r="D78" t="s">
        <v>257</v>
      </c>
      <c r="E78" t="s">
        <v>495</v>
      </c>
      <c r="F78" t="s">
        <v>258</v>
      </c>
      <c r="G78" t="s">
        <v>104</v>
      </c>
      <c r="H78" t="s">
        <v>105</v>
      </c>
      <c r="I78" t="s">
        <v>106</v>
      </c>
      <c r="J78" t="s">
        <v>19</v>
      </c>
      <c r="K78" t="s">
        <v>101</v>
      </c>
      <c r="L78" t="s">
        <v>326</v>
      </c>
      <c r="M78" s="3" t="s">
        <v>255</v>
      </c>
      <c r="N78" s="3" t="s">
        <v>255</v>
      </c>
      <c r="O78" s="3" t="s">
        <v>589</v>
      </c>
      <c r="P78" s="3" t="s">
        <v>244</v>
      </c>
      <c r="Q78" t="s">
        <v>492</v>
      </c>
      <c r="R78" s="107" t="s">
        <v>419</v>
      </c>
    </row>
    <row r="79" spans="1:18" x14ac:dyDescent="0.25">
      <c r="A79" t="s">
        <v>75</v>
      </c>
      <c r="B79" t="s">
        <v>590</v>
      </c>
      <c r="C79" t="s">
        <v>103</v>
      </c>
      <c r="D79" t="s">
        <v>591</v>
      </c>
      <c r="E79" t="s">
        <v>592</v>
      </c>
      <c r="F79" t="s">
        <v>219</v>
      </c>
      <c r="G79" t="s">
        <v>593</v>
      </c>
      <c r="H79" t="s">
        <v>594</v>
      </c>
      <c r="I79" t="s">
        <v>115</v>
      </c>
      <c r="J79" t="s">
        <v>76</v>
      </c>
      <c r="K79" t="s">
        <v>218</v>
      </c>
      <c r="L79" t="s">
        <v>328</v>
      </c>
      <c r="M79" s="3" t="s">
        <v>324</v>
      </c>
      <c r="N79" s="3" t="s">
        <v>372</v>
      </c>
      <c r="O79" s="3" t="s">
        <v>244</v>
      </c>
      <c r="P79" s="3" t="s">
        <v>244</v>
      </c>
      <c r="Q79" t="s">
        <v>492</v>
      </c>
      <c r="R79" s="107" t="s">
        <v>761</v>
      </c>
    </row>
    <row r="80" spans="1:18" x14ac:dyDescent="0.25">
      <c r="A80" t="s">
        <v>75</v>
      </c>
      <c r="B80" t="s">
        <v>595</v>
      </c>
      <c r="C80" t="s">
        <v>103</v>
      </c>
      <c r="D80" t="s">
        <v>596</v>
      </c>
      <c r="E80" t="s">
        <v>597</v>
      </c>
      <c r="F80" t="s">
        <v>219</v>
      </c>
      <c r="G80" t="s">
        <v>598</v>
      </c>
      <c r="H80" t="s">
        <v>599</v>
      </c>
      <c r="I80" t="s">
        <v>115</v>
      </c>
      <c r="J80" t="s">
        <v>76</v>
      </c>
      <c r="K80" t="s">
        <v>218</v>
      </c>
      <c r="L80" t="s">
        <v>328</v>
      </c>
      <c r="M80" s="3" t="s">
        <v>324</v>
      </c>
      <c r="N80" s="3" t="s">
        <v>372</v>
      </c>
      <c r="O80" s="3" t="s">
        <v>244</v>
      </c>
      <c r="P80" s="3" t="s">
        <v>244</v>
      </c>
      <c r="Q80" t="s">
        <v>492</v>
      </c>
      <c r="R80" s="107" t="s">
        <v>761</v>
      </c>
    </row>
    <row r="81" spans="1:18" x14ac:dyDescent="0.25">
      <c r="A81" t="s">
        <v>75</v>
      </c>
      <c r="B81" t="s">
        <v>600</v>
      </c>
      <c r="C81" t="s">
        <v>103</v>
      </c>
      <c r="D81" t="s">
        <v>601</v>
      </c>
      <c r="E81" t="s">
        <v>602</v>
      </c>
      <c r="F81" t="s">
        <v>219</v>
      </c>
      <c r="G81" t="s">
        <v>104</v>
      </c>
      <c r="H81" t="s">
        <v>603</v>
      </c>
      <c r="I81" t="s">
        <v>115</v>
      </c>
      <c r="J81" t="s">
        <v>76</v>
      </c>
      <c r="K81" t="s">
        <v>218</v>
      </c>
      <c r="L81" t="s">
        <v>328</v>
      </c>
      <c r="M81" s="3" t="s">
        <v>324</v>
      </c>
      <c r="N81" s="3" t="s">
        <v>372</v>
      </c>
      <c r="O81" s="3" t="s">
        <v>244</v>
      </c>
      <c r="P81" s="3" t="s">
        <v>244</v>
      </c>
      <c r="Q81" t="s">
        <v>492</v>
      </c>
      <c r="R81" s="107" t="s">
        <v>761</v>
      </c>
    </row>
    <row r="82" spans="1:18" x14ac:dyDescent="0.25">
      <c r="A82" t="s">
        <v>75</v>
      </c>
      <c r="B82" t="s">
        <v>604</v>
      </c>
      <c r="C82" t="s">
        <v>103</v>
      </c>
      <c r="D82" t="s">
        <v>605</v>
      </c>
      <c r="E82" t="s">
        <v>606</v>
      </c>
      <c r="F82" t="s">
        <v>219</v>
      </c>
      <c r="G82" t="s">
        <v>104</v>
      </c>
      <c r="H82" t="s">
        <v>607</v>
      </c>
      <c r="I82" t="s">
        <v>115</v>
      </c>
      <c r="J82" t="s">
        <v>76</v>
      </c>
      <c r="K82" t="s">
        <v>218</v>
      </c>
      <c r="L82" t="s">
        <v>328</v>
      </c>
      <c r="M82" s="3" t="s">
        <v>324</v>
      </c>
      <c r="N82" s="3" t="s">
        <v>372</v>
      </c>
      <c r="O82" s="3" t="s">
        <v>608</v>
      </c>
      <c r="P82" s="3" t="s">
        <v>244</v>
      </c>
      <c r="Q82" t="s">
        <v>492</v>
      </c>
      <c r="R82" s="107" t="s">
        <v>762</v>
      </c>
    </row>
    <row r="83" spans="1:18" x14ac:dyDescent="0.25">
      <c r="A83" t="s">
        <v>79</v>
      </c>
      <c r="B83" t="s">
        <v>609</v>
      </c>
      <c r="C83" t="s">
        <v>103</v>
      </c>
      <c r="D83" t="s">
        <v>610</v>
      </c>
      <c r="E83" t="s">
        <v>611</v>
      </c>
      <c r="F83" t="s">
        <v>219</v>
      </c>
      <c r="G83" t="s">
        <v>104</v>
      </c>
      <c r="H83" t="s">
        <v>612</v>
      </c>
      <c r="I83" t="s">
        <v>613</v>
      </c>
      <c r="J83" t="s">
        <v>259</v>
      </c>
      <c r="K83" t="s">
        <v>218</v>
      </c>
      <c r="L83" t="s">
        <v>328</v>
      </c>
      <c r="M83" s="3" t="s">
        <v>244</v>
      </c>
      <c r="N83" s="3" t="s">
        <v>244</v>
      </c>
      <c r="O83" s="3" t="s">
        <v>614</v>
      </c>
      <c r="P83" s="3" t="s">
        <v>244</v>
      </c>
      <c r="Q83" t="s">
        <v>492</v>
      </c>
      <c r="R83" s="107" t="s">
        <v>763</v>
      </c>
    </row>
    <row r="84" spans="1:18" x14ac:dyDescent="0.25">
      <c r="A84" t="s">
        <v>79</v>
      </c>
      <c r="B84" t="s">
        <v>615</v>
      </c>
      <c r="C84" t="s">
        <v>103</v>
      </c>
      <c r="D84" t="s">
        <v>616</v>
      </c>
      <c r="E84" t="s">
        <v>492</v>
      </c>
      <c r="F84" t="s">
        <v>617</v>
      </c>
      <c r="G84" t="s">
        <v>104</v>
      </c>
      <c r="H84" t="s">
        <v>113</v>
      </c>
      <c r="I84" t="s">
        <v>115</v>
      </c>
      <c r="J84" t="s">
        <v>259</v>
      </c>
      <c r="K84" t="s">
        <v>167</v>
      </c>
      <c r="L84" t="s">
        <v>327</v>
      </c>
      <c r="M84" s="3" t="s">
        <v>267</v>
      </c>
      <c r="N84" s="3" t="s">
        <v>273</v>
      </c>
      <c r="O84" s="3" t="s">
        <v>447</v>
      </c>
      <c r="P84" s="3" t="s">
        <v>244</v>
      </c>
      <c r="Q84" t="s">
        <v>492</v>
      </c>
      <c r="R84" s="107" t="s">
        <v>384</v>
      </c>
    </row>
    <row r="85" spans="1:18" x14ac:dyDescent="0.25">
      <c r="A85" t="s">
        <v>79</v>
      </c>
      <c r="B85" t="s">
        <v>618</v>
      </c>
      <c r="C85" t="s">
        <v>103</v>
      </c>
      <c r="D85" t="s">
        <v>619</v>
      </c>
      <c r="E85" t="s">
        <v>492</v>
      </c>
      <c r="F85" t="s">
        <v>620</v>
      </c>
      <c r="G85" t="s">
        <v>104</v>
      </c>
      <c r="H85" t="s">
        <v>113</v>
      </c>
      <c r="I85" t="s">
        <v>115</v>
      </c>
      <c r="J85" t="s">
        <v>259</v>
      </c>
      <c r="K85" t="s">
        <v>101</v>
      </c>
      <c r="L85" t="s">
        <v>327</v>
      </c>
      <c r="M85" s="3" t="s">
        <v>428</v>
      </c>
      <c r="N85" s="3" t="s">
        <v>429</v>
      </c>
      <c r="O85" s="3" t="s">
        <v>446</v>
      </c>
      <c r="P85" s="3" t="s">
        <v>244</v>
      </c>
      <c r="Q85" t="s">
        <v>492</v>
      </c>
      <c r="R85" s="107" t="s">
        <v>338</v>
      </c>
    </row>
    <row r="86" spans="1:18" x14ac:dyDescent="0.25">
      <c r="A86" t="s">
        <v>79</v>
      </c>
      <c r="B86" t="s">
        <v>437</v>
      </c>
      <c r="C86" t="s">
        <v>103</v>
      </c>
      <c r="D86" t="s">
        <v>438</v>
      </c>
      <c r="E86" t="s">
        <v>541</v>
      </c>
      <c r="F86" t="s">
        <v>439</v>
      </c>
      <c r="G86" t="s">
        <v>104</v>
      </c>
      <c r="H86" t="s">
        <v>148</v>
      </c>
      <c r="I86" t="s">
        <v>115</v>
      </c>
      <c r="J86" t="s">
        <v>259</v>
      </c>
      <c r="K86" t="s">
        <v>101</v>
      </c>
      <c r="L86" t="s">
        <v>328</v>
      </c>
      <c r="M86" s="3" t="s">
        <v>428</v>
      </c>
      <c r="N86" s="3" t="s">
        <v>429</v>
      </c>
      <c r="O86" s="3" t="s">
        <v>621</v>
      </c>
      <c r="P86" s="3" t="s">
        <v>244</v>
      </c>
      <c r="Q86" t="s">
        <v>492</v>
      </c>
      <c r="R86" s="107" t="s">
        <v>764</v>
      </c>
    </row>
    <row r="87" spans="1:18" x14ac:dyDescent="0.25">
      <c r="A87" t="s">
        <v>79</v>
      </c>
      <c r="B87" t="s">
        <v>270</v>
      </c>
      <c r="C87" t="s">
        <v>103</v>
      </c>
      <c r="D87" t="s">
        <v>271</v>
      </c>
      <c r="E87" t="s">
        <v>492</v>
      </c>
      <c r="F87" t="s">
        <v>272</v>
      </c>
      <c r="G87" t="s">
        <v>104</v>
      </c>
      <c r="H87" t="s">
        <v>113</v>
      </c>
      <c r="I87" t="s">
        <v>115</v>
      </c>
      <c r="J87" t="s">
        <v>259</v>
      </c>
      <c r="K87" t="s">
        <v>101</v>
      </c>
      <c r="L87" t="s">
        <v>327</v>
      </c>
      <c r="M87" s="3" t="s">
        <v>260</v>
      </c>
      <c r="N87" s="3" t="s">
        <v>273</v>
      </c>
      <c r="O87" s="3" t="s">
        <v>426</v>
      </c>
      <c r="P87" s="3" t="s">
        <v>244</v>
      </c>
      <c r="Q87" t="s">
        <v>492</v>
      </c>
      <c r="R87" s="107" t="s">
        <v>340</v>
      </c>
    </row>
    <row r="88" spans="1:18" x14ac:dyDescent="0.25">
      <c r="A88" t="s">
        <v>79</v>
      </c>
      <c r="B88" t="s">
        <v>261</v>
      </c>
      <c r="C88" t="s">
        <v>103</v>
      </c>
      <c r="D88" t="s">
        <v>262</v>
      </c>
      <c r="E88" t="s">
        <v>492</v>
      </c>
      <c r="F88" t="s">
        <v>263</v>
      </c>
      <c r="G88" t="s">
        <v>104</v>
      </c>
      <c r="H88" t="s">
        <v>113</v>
      </c>
      <c r="I88" t="s">
        <v>115</v>
      </c>
      <c r="J88" t="s">
        <v>259</v>
      </c>
      <c r="K88" t="s">
        <v>101</v>
      </c>
      <c r="L88" t="s">
        <v>327</v>
      </c>
      <c r="M88" s="3" t="s">
        <v>260</v>
      </c>
      <c r="N88" s="3" t="s">
        <v>264</v>
      </c>
      <c r="O88" s="3" t="s">
        <v>426</v>
      </c>
      <c r="P88" s="3" t="s">
        <v>244</v>
      </c>
      <c r="Q88" t="s">
        <v>492</v>
      </c>
      <c r="R88" s="107" t="s">
        <v>340</v>
      </c>
    </row>
    <row r="89" spans="1:18" x14ac:dyDescent="0.25">
      <c r="A89" t="s">
        <v>79</v>
      </c>
      <c r="B89" t="s">
        <v>265</v>
      </c>
      <c r="C89" t="s">
        <v>103</v>
      </c>
      <c r="D89" t="s">
        <v>266</v>
      </c>
      <c r="E89" t="s">
        <v>492</v>
      </c>
      <c r="F89" t="s">
        <v>265</v>
      </c>
      <c r="G89" t="s">
        <v>104</v>
      </c>
      <c r="H89" t="s">
        <v>113</v>
      </c>
      <c r="I89" t="s">
        <v>115</v>
      </c>
      <c r="J89" t="s">
        <v>259</v>
      </c>
      <c r="K89" t="s">
        <v>101</v>
      </c>
      <c r="L89" t="s">
        <v>327</v>
      </c>
      <c r="M89" s="3" t="s">
        <v>260</v>
      </c>
      <c r="N89" s="3" t="s">
        <v>267</v>
      </c>
      <c r="O89" s="3" t="s">
        <v>426</v>
      </c>
      <c r="P89" s="3" t="s">
        <v>244</v>
      </c>
      <c r="Q89" t="s">
        <v>492</v>
      </c>
      <c r="R89" s="107" t="s">
        <v>340</v>
      </c>
    </row>
    <row r="90" spans="1:18" x14ac:dyDescent="0.25">
      <c r="A90" t="s">
        <v>79</v>
      </c>
      <c r="B90" t="s">
        <v>622</v>
      </c>
      <c r="C90" t="s">
        <v>103</v>
      </c>
      <c r="D90" t="s">
        <v>623</v>
      </c>
      <c r="E90" t="s">
        <v>492</v>
      </c>
      <c r="F90" t="s">
        <v>624</v>
      </c>
      <c r="G90" t="s">
        <v>104</v>
      </c>
      <c r="H90" t="s">
        <v>113</v>
      </c>
      <c r="I90" t="s">
        <v>115</v>
      </c>
      <c r="J90" t="s">
        <v>259</v>
      </c>
      <c r="K90" t="s">
        <v>101</v>
      </c>
      <c r="L90" t="s">
        <v>327</v>
      </c>
      <c r="M90" s="3" t="s">
        <v>322</v>
      </c>
      <c r="N90" s="3" t="s">
        <v>336</v>
      </c>
      <c r="O90" s="3" t="s">
        <v>285</v>
      </c>
      <c r="P90" s="3" t="s">
        <v>244</v>
      </c>
      <c r="Q90" t="s">
        <v>492</v>
      </c>
      <c r="R90" s="107" t="s">
        <v>393</v>
      </c>
    </row>
    <row r="91" spans="1:18" x14ac:dyDescent="0.25">
      <c r="A91" t="s">
        <v>79</v>
      </c>
      <c r="B91" t="s">
        <v>625</v>
      </c>
      <c r="C91" t="s">
        <v>103</v>
      </c>
      <c r="D91" t="s">
        <v>626</v>
      </c>
      <c r="E91" t="s">
        <v>492</v>
      </c>
      <c r="F91" t="s">
        <v>627</v>
      </c>
      <c r="G91" t="s">
        <v>104</v>
      </c>
      <c r="H91" t="s">
        <v>113</v>
      </c>
      <c r="I91" t="s">
        <v>115</v>
      </c>
      <c r="J91" t="s">
        <v>259</v>
      </c>
      <c r="K91" t="s">
        <v>101</v>
      </c>
      <c r="L91" t="s">
        <v>327</v>
      </c>
      <c r="M91" s="3" t="s">
        <v>322</v>
      </c>
      <c r="N91" s="3" t="s">
        <v>336</v>
      </c>
      <c r="O91" s="3" t="s">
        <v>285</v>
      </c>
      <c r="P91" s="3" t="s">
        <v>244</v>
      </c>
      <c r="Q91" t="s">
        <v>492</v>
      </c>
      <c r="R91" s="107" t="s">
        <v>393</v>
      </c>
    </row>
    <row r="92" spans="1:18" x14ac:dyDescent="0.25">
      <c r="A92" t="s">
        <v>79</v>
      </c>
      <c r="B92" t="s">
        <v>296</v>
      </c>
      <c r="C92" t="s">
        <v>103</v>
      </c>
      <c r="D92" t="s">
        <v>242</v>
      </c>
      <c r="E92" t="s">
        <v>492</v>
      </c>
      <c r="F92" t="s">
        <v>243</v>
      </c>
      <c r="G92" t="s">
        <v>104</v>
      </c>
      <c r="H92" t="s">
        <v>113</v>
      </c>
      <c r="I92" t="s">
        <v>115</v>
      </c>
      <c r="J92" t="s">
        <v>259</v>
      </c>
      <c r="K92" t="s">
        <v>101</v>
      </c>
      <c r="L92" t="s">
        <v>327</v>
      </c>
      <c r="M92" s="3" t="s">
        <v>294</v>
      </c>
      <c r="N92" s="3" t="s">
        <v>286</v>
      </c>
      <c r="O92" s="3" t="s">
        <v>273</v>
      </c>
      <c r="P92" s="3" t="s">
        <v>244</v>
      </c>
      <c r="Q92" t="s">
        <v>492</v>
      </c>
      <c r="R92" s="107" t="s">
        <v>751</v>
      </c>
    </row>
    <row r="93" spans="1:18" x14ac:dyDescent="0.25">
      <c r="A93" t="s">
        <v>79</v>
      </c>
      <c r="B93" t="s">
        <v>274</v>
      </c>
      <c r="C93" t="s">
        <v>441</v>
      </c>
      <c r="D93" t="s">
        <v>628</v>
      </c>
      <c r="E93" t="s">
        <v>492</v>
      </c>
      <c r="F93" t="s">
        <v>274</v>
      </c>
      <c r="G93" t="s">
        <v>629</v>
      </c>
      <c r="H93" t="s">
        <v>113</v>
      </c>
      <c r="I93" t="s">
        <v>115</v>
      </c>
      <c r="J93" t="s">
        <v>259</v>
      </c>
      <c r="K93" t="s">
        <v>274</v>
      </c>
      <c r="L93" t="s">
        <v>327</v>
      </c>
      <c r="M93" s="3" t="s">
        <v>630</v>
      </c>
      <c r="N93" s="3" t="s">
        <v>440</v>
      </c>
      <c r="O93" s="3" t="s">
        <v>267</v>
      </c>
      <c r="P93" s="3" t="s">
        <v>631</v>
      </c>
      <c r="Q93" t="s">
        <v>492</v>
      </c>
      <c r="R93" s="70" t="s">
        <v>341</v>
      </c>
    </row>
    <row r="94" spans="1:18" x14ac:dyDescent="0.25">
      <c r="A94" t="s">
        <v>79</v>
      </c>
      <c r="B94" t="s">
        <v>291</v>
      </c>
      <c r="C94" t="s">
        <v>103</v>
      </c>
      <c r="D94" t="s">
        <v>292</v>
      </c>
      <c r="E94" t="s">
        <v>495</v>
      </c>
      <c r="F94" t="s">
        <v>293</v>
      </c>
      <c r="G94" t="s">
        <v>104</v>
      </c>
      <c r="H94" t="s">
        <v>105</v>
      </c>
      <c r="I94" t="s">
        <v>106</v>
      </c>
      <c r="J94" t="s">
        <v>259</v>
      </c>
      <c r="K94" t="s">
        <v>101</v>
      </c>
      <c r="L94" t="s">
        <v>326</v>
      </c>
      <c r="M94" s="3" t="s">
        <v>276</v>
      </c>
      <c r="N94" s="3" t="s">
        <v>287</v>
      </c>
      <c r="O94" s="3" t="s">
        <v>260</v>
      </c>
      <c r="P94" s="3" t="s">
        <v>244</v>
      </c>
      <c r="Q94" t="s">
        <v>492</v>
      </c>
      <c r="R94" s="107" t="s">
        <v>398</v>
      </c>
    </row>
    <row r="95" spans="1:18" x14ac:dyDescent="0.25">
      <c r="A95" t="s">
        <v>79</v>
      </c>
      <c r="B95" t="s">
        <v>291</v>
      </c>
      <c r="C95" t="s">
        <v>103</v>
      </c>
      <c r="D95" t="s">
        <v>292</v>
      </c>
      <c r="E95" t="s">
        <v>505</v>
      </c>
      <c r="F95" t="s">
        <v>293</v>
      </c>
      <c r="G95" t="s">
        <v>104</v>
      </c>
      <c r="H95" t="s">
        <v>105</v>
      </c>
      <c r="I95" t="s">
        <v>106</v>
      </c>
      <c r="J95" t="s">
        <v>259</v>
      </c>
      <c r="K95" t="s">
        <v>101</v>
      </c>
      <c r="L95" t="s">
        <v>326</v>
      </c>
      <c r="M95" s="3" t="s">
        <v>276</v>
      </c>
      <c r="N95" s="3" t="s">
        <v>287</v>
      </c>
      <c r="O95" s="3" t="s">
        <v>260</v>
      </c>
      <c r="P95" s="3" t="s">
        <v>244</v>
      </c>
      <c r="Q95" t="s">
        <v>492</v>
      </c>
      <c r="R95" s="107" t="s">
        <v>398</v>
      </c>
    </row>
    <row r="96" spans="1:18" x14ac:dyDescent="0.25">
      <c r="A96" t="s">
        <v>79</v>
      </c>
      <c r="B96" t="s">
        <v>277</v>
      </c>
      <c r="C96" t="s">
        <v>103</v>
      </c>
      <c r="D96" t="s">
        <v>278</v>
      </c>
      <c r="E96" t="s">
        <v>538</v>
      </c>
      <c r="F96" t="s">
        <v>279</v>
      </c>
      <c r="G96" t="s">
        <v>104</v>
      </c>
      <c r="H96" t="s">
        <v>193</v>
      </c>
      <c r="I96" t="s">
        <v>195</v>
      </c>
      <c r="J96" t="s">
        <v>259</v>
      </c>
      <c r="K96" t="s">
        <v>101</v>
      </c>
      <c r="L96" t="s">
        <v>328</v>
      </c>
      <c r="M96" s="3" t="s">
        <v>276</v>
      </c>
      <c r="N96" s="3" t="s">
        <v>280</v>
      </c>
      <c r="O96" s="3" t="s">
        <v>260</v>
      </c>
      <c r="P96" s="3" t="s">
        <v>244</v>
      </c>
      <c r="Q96" t="s">
        <v>492</v>
      </c>
      <c r="R96" s="107" t="s">
        <v>398</v>
      </c>
    </row>
    <row r="97" spans="1:18" x14ac:dyDescent="0.25">
      <c r="A97" t="s">
        <v>79</v>
      </c>
      <c r="B97" t="s">
        <v>295</v>
      </c>
      <c r="C97" t="s">
        <v>103</v>
      </c>
      <c r="D97" t="s">
        <v>240</v>
      </c>
      <c r="E97" t="s">
        <v>492</v>
      </c>
      <c r="F97" t="s">
        <v>241</v>
      </c>
      <c r="G97" t="s">
        <v>104</v>
      </c>
      <c r="H97" t="s">
        <v>113</v>
      </c>
      <c r="I97" t="s">
        <v>115</v>
      </c>
      <c r="J97" t="s">
        <v>259</v>
      </c>
      <c r="K97" t="s">
        <v>101</v>
      </c>
      <c r="L97" t="s">
        <v>327</v>
      </c>
      <c r="M97" s="3" t="s">
        <v>294</v>
      </c>
      <c r="N97" s="3" t="s">
        <v>286</v>
      </c>
      <c r="O97" s="3" t="s">
        <v>425</v>
      </c>
      <c r="P97" s="3" t="s">
        <v>244</v>
      </c>
      <c r="Q97" t="s">
        <v>492</v>
      </c>
      <c r="R97" s="107" t="s">
        <v>752</v>
      </c>
    </row>
    <row r="98" spans="1:18" x14ac:dyDescent="0.25">
      <c r="A98" t="s">
        <v>79</v>
      </c>
      <c r="B98" t="s">
        <v>274</v>
      </c>
      <c r="C98" t="s">
        <v>632</v>
      </c>
      <c r="D98" t="s">
        <v>633</v>
      </c>
      <c r="E98" t="s">
        <v>492</v>
      </c>
      <c r="F98" t="s">
        <v>274</v>
      </c>
      <c r="G98" t="s">
        <v>634</v>
      </c>
      <c r="H98" t="s">
        <v>113</v>
      </c>
      <c r="I98" t="s">
        <v>115</v>
      </c>
      <c r="J98" t="s">
        <v>259</v>
      </c>
      <c r="K98" t="s">
        <v>274</v>
      </c>
      <c r="L98" t="s">
        <v>327</v>
      </c>
      <c r="M98" s="3" t="s">
        <v>445</v>
      </c>
      <c r="N98" s="3" t="s">
        <v>635</v>
      </c>
      <c r="O98" s="3" t="s">
        <v>442</v>
      </c>
      <c r="P98" s="3" t="s">
        <v>244</v>
      </c>
      <c r="Q98" t="s">
        <v>492</v>
      </c>
      <c r="R98" s="70" t="s">
        <v>342</v>
      </c>
    </row>
    <row r="99" spans="1:18" x14ac:dyDescent="0.25">
      <c r="A99" t="s">
        <v>79</v>
      </c>
      <c r="B99" t="s">
        <v>274</v>
      </c>
      <c r="C99" t="s">
        <v>636</v>
      </c>
      <c r="D99" t="s">
        <v>637</v>
      </c>
      <c r="E99" t="s">
        <v>492</v>
      </c>
      <c r="F99" t="s">
        <v>274</v>
      </c>
      <c r="G99" t="s">
        <v>104</v>
      </c>
      <c r="H99" t="s">
        <v>113</v>
      </c>
      <c r="I99" t="s">
        <v>115</v>
      </c>
      <c r="J99" t="s">
        <v>259</v>
      </c>
      <c r="K99" t="s">
        <v>274</v>
      </c>
      <c r="L99" t="s">
        <v>327</v>
      </c>
      <c r="M99" s="3" t="s">
        <v>445</v>
      </c>
      <c r="N99" s="3" t="s">
        <v>442</v>
      </c>
      <c r="O99" s="3" t="s">
        <v>442</v>
      </c>
      <c r="P99" s="3" t="s">
        <v>244</v>
      </c>
      <c r="Q99" t="s">
        <v>492</v>
      </c>
      <c r="R99" s="70" t="s">
        <v>342</v>
      </c>
    </row>
    <row r="100" spans="1:18" x14ac:dyDescent="0.25">
      <c r="A100" t="s">
        <v>79</v>
      </c>
      <c r="B100" t="s">
        <v>274</v>
      </c>
      <c r="C100" t="s">
        <v>638</v>
      </c>
      <c r="D100" t="s">
        <v>639</v>
      </c>
      <c r="E100" t="s">
        <v>492</v>
      </c>
      <c r="F100" t="s">
        <v>274</v>
      </c>
      <c r="G100" t="s">
        <v>640</v>
      </c>
      <c r="H100" t="s">
        <v>113</v>
      </c>
      <c r="I100" t="s">
        <v>115</v>
      </c>
      <c r="J100" t="s">
        <v>259</v>
      </c>
      <c r="K100" t="s">
        <v>274</v>
      </c>
      <c r="L100" t="s">
        <v>327</v>
      </c>
      <c r="M100" s="3" t="s">
        <v>445</v>
      </c>
      <c r="N100" s="3" t="s">
        <v>330</v>
      </c>
      <c r="O100" s="3" t="s">
        <v>442</v>
      </c>
      <c r="P100" s="3" t="s">
        <v>244</v>
      </c>
      <c r="Q100" t="s">
        <v>492</v>
      </c>
      <c r="R100" s="70" t="s">
        <v>342</v>
      </c>
    </row>
    <row r="101" spans="1:18" x14ac:dyDescent="0.25">
      <c r="A101" t="s">
        <v>79</v>
      </c>
      <c r="B101" t="s">
        <v>641</v>
      </c>
      <c r="C101" t="s">
        <v>103</v>
      </c>
      <c r="D101" t="s">
        <v>642</v>
      </c>
      <c r="E101" t="s">
        <v>643</v>
      </c>
      <c r="F101" t="s">
        <v>162</v>
      </c>
      <c r="G101" t="s">
        <v>104</v>
      </c>
      <c r="H101" t="s">
        <v>644</v>
      </c>
      <c r="I101" t="s">
        <v>115</v>
      </c>
      <c r="J101" t="s">
        <v>259</v>
      </c>
      <c r="K101" t="s">
        <v>160</v>
      </c>
      <c r="L101" t="s">
        <v>328</v>
      </c>
      <c r="M101" s="3" t="s">
        <v>645</v>
      </c>
      <c r="N101" s="3" t="s">
        <v>646</v>
      </c>
      <c r="O101" s="3" t="s">
        <v>330</v>
      </c>
      <c r="P101" s="3" t="s">
        <v>647</v>
      </c>
      <c r="Q101" t="s">
        <v>492</v>
      </c>
      <c r="R101" s="107" t="s">
        <v>343</v>
      </c>
    </row>
    <row r="102" spans="1:18" x14ac:dyDescent="0.25">
      <c r="A102" t="s">
        <v>79</v>
      </c>
      <c r="B102" t="s">
        <v>648</v>
      </c>
      <c r="C102" t="s">
        <v>103</v>
      </c>
      <c r="D102" t="s">
        <v>649</v>
      </c>
      <c r="E102" t="s">
        <v>592</v>
      </c>
      <c r="F102" t="s">
        <v>219</v>
      </c>
      <c r="G102" t="s">
        <v>104</v>
      </c>
      <c r="H102" t="s">
        <v>594</v>
      </c>
      <c r="I102" t="s">
        <v>115</v>
      </c>
      <c r="J102" t="s">
        <v>259</v>
      </c>
      <c r="K102" t="s">
        <v>650</v>
      </c>
      <c r="L102" t="s">
        <v>328</v>
      </c>
      <c r="M102" s="3" t="s">
        <v>322</v>
      </c>
      <c r="N102" s="3" t="s">
        <v>336</v>
      </c>
      <c r="O102" s="3" t="s">
        <v>330</v>
      </c>
      <c r="P102" s="3" t="s">
        <v>614</v>
      </c>
      <c r="Q102" t="s">
        <v>492</v>
      </c>
      <c r="R102" s="107" t="s">
        <v>343</v>
      </c>
    </row>
    <row r="103" spans="1:18" x14ac:dyDescent="0.25">
      <c r="A103" t="s">
        <v>79</v>
      </c>
      <c r="B103" t="s">
        <v>422</v>
      </c>
      <c r="C103" t="s">
        <v>103</v>
      </c>
      <c r="D103" t="s">
        <v>423</v>
      </c>
      <c r="E103" t="s">
        <v>492</v>
      </c>
      <c r="F103" t="s">
        <v>424</v>
      </c>
      <c r="G103" t="s">
        <v>104</v>
      </c>
      <c r="H103" t="s">
        <v>113</v>
      </c>
      <c r="I103" t="s">
        <v>115</v>
      </c>
      <c r="J103" t="s">
        <v>259</v>
      </c>
      <c r="K103" t="s">
        <v>101</v>
      </c>
      <c r="L103" t="s">
        <v>327</v>
      </c>
      <c r="M103" s="3" t="s">
        <v>275</v>
      </c>
      <c r="N103" s="3" t="s">
        <v>335</v>
      </c>
      <c r="O103" s="3" t="s">
        <v>330</v>
      </c>
      <c r="P103" s="3" t="s">
        <v>651</v>
      </c>
      <c r="Q103" t="s">
        <v>492</v>
      </c>
      <c r="R103" s="107" t="s">
        <v>343</v>
      </c>
    </row>
    <row r="104" spans="1:18" x14ac:dyDescent="0.25">
      <c r="A104" t="s">
        <v>79</v>
      </c>
      <c r="B104" t="s">
        <v>320</v>
      </c>
      <c r="C104" t="s">
        <v>103</v>
      </c>
      <c r="D104" t="s">
        <v>321</v>
      </c>
      <c r="E104" t="s">
        <v>492</v>
      </c>
      <c r="F104" t="s">
        <v>334</v>
      </c>
      <c r="G104" t="s">
        <v>104</v>
      </c>
      <c r="H104" t="s">
        <v>113</v>
      </c>
      <c r="I104" t="s">
        <v>115</v>
      </c>
      <c r="J104" t="s">
        <v>259</v>
      </c>
      <c r="K104" t="s">
        <v>101</v>
      </c>
      <c r="L104" t="s">
        <v>327</v>
      </c>
      <c r="M104" s="3" t="s">
        <v>275</v>
      </c>
      <c r="N104" s="3" t="s">
        <v>335</v>
      </c>
      <c r="O104" s="3" t="s">
        <v>330</v>
      </c>
      <c r="P104" s="3" t="s">
        <v>651</v>
      </c>
      <c r="Q104" t="s">
        <v>492</v>
      </c>
      <c r="R104" s="107" t="s">
        <v>343</v>
      </c>
    </row>
    <row r="105" spans="1:18" x14ac:dyDescent="0.25">
      <c r="A105" t="s">
        <v>79</v>
      </c>
      <c r="B105" t="s">
        <v>268</v>
      </c>
      <c r="C105" t="s">
        <v>652</v>
      </c>
      <c r="D105" t="s">
        <v>443</v>
      </c>
      <c r="E105" t="s">
        <v>492</v>
      </c>
      <c r="F105" t="s">
        <v>268</v>
      </c>
      <c r="G105" t="s">
        <v>653</v>
      </c>
      <c r="H105" t="s">
        <v>113</v>
      </c>
      <c r="I105" t="s">
        <v>115</v>
      </c>
      <c r="J105" t="s">
        <v>259</v>
      </c>
      <c r="K105" t="s">
        <v>268</v>
      </c>
      <c r="L105" t="s">
        <v>327</v>
      </c>
      <c r="M105" s="3" t="s">
        <v>444</v>
      </c>
      <c r="N105" s="3" t="s">
        <v>330</v>
      </c>
      <c r="O105" s="3" t="s">
        <v>330</v>
      </c>
      <c r="P105" s="3" t="s">
        <v>244</v>
      </c>
      <c r="Q105" t="s">
        <v>492</v>
      </c>
      <c r="R105" s="70" t="s">
        <v>343</v>
      </c>
    </row>
    <row r="106" spans="1:18" x14ac:dyDescent="0.25">
      <c r="A106" t="s">
        <v>79</v>
      </c>
      <c r="B106" t="s">
        <v>274</v>
      </c>
      <c r="C106" t="s">
        <v>654</v>
      </c>
      <c r="D106" t="s">
        <v>655</v>
      </c>
      <c r="E106" t="s">
        <v>492</v>
      </c>
      <c r="F106" t="s">
        <v>274</v>
      </c>
      <c r="G106" t="s">
        <v>656</v>
      </c>
      <c r="H106" t="s">
        <v>113</v>
      </c>
      <c r="I106" t="s">
        <v>115</v>
      </c>
      <c r="J106" t="s">
        <v>259</v>
      </c>
      <c r="K106" t="s">
        <v>274</v>
      </c>
      <c r="L106" t="s">
        <v>327</v>
      </c>
      <c r="M106" s="3" t="s">
        <v>244</v>
      </c>
      <c r="N106" s="3" t="s">
        <v>244</v>
      </c>
      <c r="O106" s="3" t="s">
        <v>330</v>
      </c>
      <c r="P106" s="3" t="s">
        <v>657</v>
      </c>
      <c r="Q106" t="s">
        <v>492</v>
      </c>
      <c r="R106" s="70" t="s">
        <v>343</v>
      </c>
    </row>
    <row r="107" spans="1:18" x14ac:dyDescent="0.25">
      <c r="A107" t="s">
        <v>79</v>
      </c>
      <c r="B107" t="s">
        <v>274</v>
      </c>
      <c r="C107" t="s">
        <v>427</v>
      </c>
      <c r="D107" t="s">
        <v>658</v>
      </c>
      <c r="E107" t="s">
        <v>492</v>
      </c>
      <c r="F107" t="s">
        <v>274</v>
      </c>
      <c r="G107" t="s">
        <v>659</v>
      </c>
      <c r="H107" t="s">
        <v>113</v>
      </c>
      <c r="I107" t="s">
        <v>115</v>
      </c>
      <c r="J107" t="s">
        <v>259</v>
      </c>
      <c r="K107" t="s">
        <v>274</v>
      </c>
      <c r="L107" t="s">
        <v>327</v>
      </c>
      <c r="M107" s="3" t="s">
        <v>660</v>
      </c>
      <c r="N107" s="3" t="s">
        <v>661</v>
      </c>
      <c r="O107" s="3" t="s">
        <v>330</v>
      </c>
      <c r="P107" s="3" t="s">
        <v>662</v>
      </c>
      <c r="Q107" t="s">
        <v>492</v>
      </c>
      <c r="R107" s="70" t="s">
        <v>343</v>
      </c>
    </row>
    <row r="108" spans="1:18" x14ac:dyDescent="0.25">
      <c r="A108" t="s">
        <v>79</v>
      </c>
      <c r="B108" t="s">
        <v>663</v>
      </c>
      <c r="C108" t="s">
        <v>103</v>
      </c>
      <c r="D108" t="s">
        <v>664</v>
      </c>
      <c r="E108" t="s">
        <v>597</v>
      </c>
      <c r="F108" t="s">
        <v>219</v>
      </c>
      <c r="G108" t="s">
        <v>104</v>
      </c>
      <c r="H108" t="s">
        <v>599</v>
      </c>
      <c r="I108" t="s">
        <v>115</v>
      </c>
      <c r="J108" t="s">
        <v>259</v>
      </c>
      <c r="K108" t="s">
        <v>650</v>
      </c>
      <c r="L108" t="s">
        <v>328</v>
      </c>
      <c r="M108" s="3" t="s">
        <v>322</v>
      </c>
      <c r="N108" s="3" t="s">
        <v>336</v>
      </c>
      <c r="O108" s="3" t="s">
        <v>330</v>
      </c>
      <c r="P108" s="3" t="s">
        <v>614</v>
      </c>
      <c r="Q108" t="s">
        <v>492</v>
      </c>
      <c r="R108" s="107" t="s">
        <v>343</v>
      </c>
    </row>
    <row r="109" spans="1:18" x14ac:dyDescent="0.25">
      <c r="A109" t="s">
        <v>79</v>
      </c>
      <c r="B109" t="s">
        <v>665</v>
      </c>
      <c r="C109" t="s">
        <v>103</v>
      </c>
      <c r="D109" t="s">
        <v>666</v>
      </c>
      <c r="E109" t="s">
        <v>667</v>
      </c>
      <c r="F109" t="s">
        <v>668</v>
      </c>
      <c r="G109" t="s">
        <v>104</v>
      </c>
      <c r="H109" t="s">
        <v>669</v>
      </c>
      <c r="I109" t="s">
        <v>115</v>
      </c>
      <c r="J109" t="s">
        <v>259</v>
      </c>
      <c r="K109" t="s">
        <v>101</v>
      </c>
      <c r="L109" t="s">
        <v>328</v>
      </c>
      <c r="M109" s="3" t="s">
        <v>322</v>
      </c>
      <c r="N109" s="3" t="s">
        <v>479</v>
      </c>
      <c r="O109" s="3" t="s">
        <v>330</v>
      </c>
      <c r="P109" s="3" t="s">
        <v>670</v>
      </c>
      <c r="Q109" t="s">
        <v>492</v>
      </c>
      <c r="R109" s="107" t="s">
        <v>343</v>
      </c>
    </row>
    <row r="110" spans="1:18" x14ac:dyDescent="0.25">
      <c r="A110" t="s">
        <v>79</v>
      </c>
      <c r="B110" t="s">
        <v>665</v>
      </c>
      <c r="C110" t="s">
        <v>103</v>
      </c>
      <c r="D110" t="s">
        <v>666</v>
      </c>
      <c r="E110" t="s">
        <v>671</v>
      </c>
      <c r="F110" t="s">
        <v>668</v>
      </c>
      <c r="G110" t="s">
        <v>104</v>
      </c>
      <c r="H110" t="s">
        <v>672</v>
      </c>
      <c r="I110" t="s">
        <v>115</v>
      </c>
      <c r="J110" t="s">
        <v>259</v>
      </c>
      <c r="K110" t="s">
        <v>101</v>
      </c>
      <c r="L110" t="s">
        <v>328</v>
      </c>
      <c r="M110" s="3" t="s">
        <v>322</v>
      </c>
      <c r="N110" s="3" t="s">
        <v>479</v>
      </c>
      <c r="O110" s="3" t="s">
        <v>330</v>
      </c>
      <c r="P110" s="3" t="s">
        <v>651</v>
      </c>
      <c r="Q110" t="s">
        <v>492</v>
      </c>
      <c r="R110" s="107" t="s">
        <v>343</v>
      </c>
    </row>
    <row r="111" spans="1:18" x14ac:dyDescent="0.25">
      <c r="A111" t="s">
        <v>79</v>
      </c>
      <c r="B111" t="s">
        <v>663</v>
      </c>
      <c r="C111" t="s">
        <v>103</v>
      </c>
      <c r="D111" t="s">
        <v>664</v>
      </c>
      <c r="E111" t="s">
        <v>606</v>
      </c>
      <c r="F111" t="s">
        <v>219</v>
      </c>
      <c r="G111" t="s">
        <v>104</v>
      </c>
      <c r="H111" t="s">
        <v>607</v>
      </c>
      <c r="I111" t="s">
        <v>115</v>
      </c>
      <c r="J111" t="s">
        <v>259</v>
      </c>
      <c r="K111" t="s">
        <v>650</v>
      </c>
      <c r="L111" t="s">
        <v>328</v>
      </c>
      <c r="M111" s="3" t="s">
        <v>322</v>
      </c>
      <c r="N111" s="3" t="s">
        <v>336</v>
      </c>
      <c r="O111" s="3" t="s">
        <v>330</v>
      </c>
      <c r="P111" s="3" t="s">
        <v>651</v>
      </c>
      <c r="Q111" t="s">
        <v>492</v>
      </c>
      <c r="R111" s="107" t="s">
        <v>343</v>
      </c>
    </row>
    <row r="112" spans="1:18" x14ac:dyDescent="0.25">
      <c r="A112" t="s">
        <v>79</v>
      </c>
      <c r="B112" t="s">
        <v>268</v>
      </c>
      <c r="C112" t="s">
        <v>673</v>
      </c>
      <c r="D112" t="s">
        <v>674</v>
      </c>
      <c r="E112" t="s">
        <v>492</v>
      </c>
      <c r="F112" t="s">
        <v>268</v>
      </c>
      <c r="G112" t="s">
        <v>675</v>
      </c>
      <c r="H112" t="s">
        <v>113</v>
      </c>
      <c r="I112" t="s">
        <v>115</v>
      </c>
      <c r="J112" t="s">
        <v>259</v>
      </c>
      <c r="K112" t="s">
        <v>268</v>
      </c>
      <c r="L112" t="s">
        <v>327</v>
      </c>
      <c r="M112" s="3" t="s">
        <v>332</v>
      </c>
      <c r="N112" s="3" t="s">
        <v>440</v>
      </c>
      <c r="O112" s="3" t="s">
        <v>676</v>
      </c>
      <c r="P112" s="3" t="s">
        <v>677</v>
      </c>
      <c r="Q112" t="s">
        <v>492</v>
      </c>
      <c r="R112" s="70" t="s">
        <v>344</v>
      </c>
    </row>
    <row r="113" spans="1:18" x14ac:dyDescent="0.25">
      <c r="A113" t="s">
        <v>79</v>
      </c>
      <c r="B113" t="s">
        <v>268</v>
      </c>
      <c r="C113" t="s">
        <v>678</v>
      </c>
      <c r="D113" t="s">
        <v>679</v>
      </c>
      <c r="E113" t="s">
        <v>492</v>
      </c>
      <c r="F113" t="s">
        <v>268</v>
      </c>
      <c r="G113" t="s">
        <v>680</v>
      </c>
      <c r="H113" t="s">
        <v>113</v>
      </c>
      <c r="I113" t="s">
        <v>115</v>
      </c>
      <c r="J113" t="s">
        <v>259</v>
      </c>
      <c r="K113" t="s">
        <v>268</v>
      </c>
      <c r="L113" t="s">
        <v>327</v>
      </c>
      <c r="M113" s="3" t="s">
        <v>276</v>
      </c>
      <c r="N113" s="3" t="s">
        <v>461</v>
      </c>
      <c r="O113" s="3" t="s">
        <v>676</v>
      </c>
      <c r="P113" s="3" t="s">
        <v>329</v>
      </c>
      <c r="Q113" t="s">
        <v>492</v>
      </c>
      <c r="R113" s="70" t="s">
        <v>344</v>
      </c>
    </row>
    <row r="114" spans="1:18" x14ac:dyDescent="0.25">
      <c r="A114" t="s">
        <v>79</v>
      </c>
      <c r="B114" t="s">
        <v>274</v>
      </c>
      <c r="C114" t="s">
        <v>681</v>
      </c>
      <c r="D114" t="s">
        <v>682</v>
      </c>
      <c r="E114" t="s">
        <v>492</v>
      </c>
      <c r="F114" t="s">
        <v>274</v>
      </c>
      <c r="G114" t="s">
        <v>683</v>
      </c>
      <c r="H114" t="s">
        <v>113</v>
      </c>
      <c r="I114" t="s">
        <v>115</v>
      </c>
      <c r="J114" t="s">
        <v>259</v>
      </c>
      <c r="K114" t="s">
        <v>274</v>
      </c>
      <c r="L114" t="s">
        <v>327</v>
      </c>
      <c r="M114" s="3" t="s">
        <v>608</v>
      </c>
      <c r="N114" s="3" t="s">
        <v>684</v>
      </c>
      <c r="O114" s="3" t="s">
        <v>676</v>
      </c>
      <c r="P114" s="3" t="s">
        <v>685</v>
      </c>
      <c r="Q114" t="s">
        <v>492</v>
      </c>
      <c r="R114" s="70" t="s">
        <v>344</v>
      </c>
    </row>
    <row r="115" spans="1:18" x14ac:dyDescent="0.25">
      <c r="A115" t="s">
        <v>79</v>
      </c>
      <c r="B115" t="s">
        <v>274</v>
      </c>
      <c r="C115" t="s">
        <v>686</v>
      </c>
      <c r="D115" t="s">
        <v>687</v>
      </c>
      <c r="E115" t="s">
        <v>492</v>
      </c>
      <c r="F115" t="s">
        <v>274</v>
      </c>
      <c r="G115" t="s">
        <v>688</v>
      </c>
      <c r="H115" t="s">
        <v>113</v>
      </c>
      <c r="I115" t="s">
        <v>115</v>
      </c>
      <c r="J115" t="s">
        <v>259</v>
      </c>
      <c r="K115" t="s">
        <v>274</v>
      </c>
      <c r="L115" t="s">
        <v>327</v>
      </c>
      <c r="M115" s="3" t="s">
        <v>267</v>
      </c>
      <c r="N115" s="3" t="s">
        <v>244</v>
      </c>
      <c r="O115" s="3" t="s">
        <v>676</v>
      </c>
      <c r="P115" s="3" t="s">
        <v>332</v>
      </c>
      <c r="Q115" t="s">
        <v>492</v>
      </c>
      <c r="R115" s="70" t="s">
        <v>344</v>
      </c>
    </row>
    <row r="116" spans="1:18" x14ac:dyDescent="0.25">
      <c r="A116" t="s">
        <v>79</v>
      </c>
      <c r="B116" t="s">
        <v>274</v>
      </c>
      <c r="C116" t="s">
        <v>689</v>
      </c>
      <c r="D116" t="s">
        <v>690</v>
      </c>
      <c r="E116" t="s">
        <v>492</v>
      </c>
      <c r="F116" t="s">
        <v>274</v>
      </c>
      <c r="G116" t="s">
        <v>691</v>
      </c>
      <c r="H116" t="s">
        <v>113</v>
      </c>
      <c r="I116" t="s">
        <v>115</v>
      </c>
      <c r="J116" t="s">
        <v>259</v>
      </c>
      <c r="K116" t="s">
        <v>274</v>
      </c>
      <c r="L116" t="s">
        <v>327</v>
      </c>
      <c r="M116" s="3" t="s">
        <v>267</v>
      </c>
      <c r="N116" s="3" t="s">
        <v>244</v>
      </c>
      <c r="O116" s="3" t="s">
        <v>676</v>
      </c>
      <c r="P116" s="3" t="s">
        <v>692</v>
      </c>
      <c r="Q116" t="s">
        <v>492</v>
      </c>
      <c r="R116" s="70" t="s">
        <v>344</v>
      </c>
    </row>
    <row r="117" spans="1:18" x14ac:dyDescent="0.25">
      <c r="A117" t="s">
        <v>79</v>
      </c>
      <c r="B117" t="s">
        <v>274</v>
      </c>
      <c r="C117" t="s">
        <v>693</v>
      </c>
      <c r="D117" t="s">
        <v>694</v>
      </c>
      <c r="E117" t="s">
        <v>492</v>
      </c>
      <c r="F117" t="s">
        <v>274</v>
      </c>
      <c r="G117" t="s">
        <v>695</v>
      </c>
      <c r="H117" t="s">
        <v>113</v>
      </c>
      <c r="I117" t="s">
        <v>115</v>
      </c>
      <c r="J117" t="s">
        <v>259</v>
      </c>
      <c r="K117" t="s">
        <v>274</v>
      </c>
      <c r="L117" t="s">
        <v>327</v>
      </c>
      <c r="M117" s="3" t="s">
        <v>267</v>
      </c>
      <c r="N117" s="3" t="s">
        <v>244</v>
      </c>
      <c r="O117" s="3" t="s">
        <v>676</v>
      </c>
      <c r="P117" s="3" t="s">
        <v>696</v>
      </c>
      <c r="Q117" t="s">
        <v>492</v>
      </c>
      <c r="R117" s="70" t="s">
        <v>344</v>
      </c>
    </row>
    <row r="118" spans="1:18" x14ac:dyDescent="0.25">
      <c r="A118" t="s">
        <v>79</v>
      </c>
      <c r="B118" t="s">
        <v>274</v>
      </c>
      <c r="C118" t="s">
        <v>697</v>
      </c>
      <c r="D118" t="s">
        <v>698</v>
      </c>
      <c r="E118" t="s">
        <v>492</v>
      </c>
      <c r="F118" t="s">
        <v>274</v>
      </c>
      <c r="G118" t="s">
        <v>699</v>
      </c>
      <c r="H118" t="s">
        <v>113</v>
      </c>
      <c r="I118" t="s">
        <v>115</v>
      </c>
      <c r="J118" t="s">
        <v>259</v>
      </c>
      <c r="K118" t="s">
        <v>274</v>
      </c>
      <c r="L118" t="s">
        <v>327</v>
      </c>
      <c r="M118" s="3" t="s">
        <v>267</v>
      </c>
      <c r="N118" s="3" t="s">
        <v>273</v>
      </c>
      <c r="O118" s="3" t="s">
        <v>676</v>
      </c>
      <c r="P118" s="3" t="s">
        <v>696</v>
      </c>
      <c r="Q118" t="s">
        <v>492</v>
      </c>
      <c r="R118" s="70" t="s">
        <v>344</v>
      </c>
    </row>
    <row r="119" spans="1:18" x14ac:dyDescent="0.25">
      <c r="A119" t="s">
        <v>79</v>
      </c>
      <c r="B119" t="s">
        <v>274</v>
      </c>
      <c r="C119" t="s">
        <v>700</v>
      </c>
      <c r="D119" t="s">
        <v>701</v>
      </c>
      <c r="E119" t="s">
        <v>492</v>
      </c>
      <c r="F119" t="s">
        <v>274</v>
      </c>
      <c r="G119" t="s">
        <v>702</v>
      </c>
      <c r="H119" t="s">
        <v>113</v>
      </c>
      <c r="I119" t="s">
        <v>115</v>
      </c>
      <c r="J119" t="s">
        <v>259</v>
      </c>
      <c r="K119" t="s">
        <v>274</v>
      </c>
      <c r="L119" t="s">
        <v>327</v>
      </c>
      <c r="M119" s="3" t="s">
        <v>703</v>
      </c>
      <c r="N119" s="3" t="s">
        <v>324</v>
      </c>
      <c r="O119" s="3" t="s">
        <v>676</v>
      </c>
      <c r="P119" s="3" t="s">
        <v>685</v>
      </c>
      <c r="Q119" t="s">
        <v>492</v>
      </c>
      <c r="R119" s="70" t="s">
        <v>344</v>
      </c>
    </row>
    <row r="120" spans="1:18" x14ac:dyDescent="0.25">
      <c r="A120" t="s">
        <v>79</v>
      </c>
      <c r="B120" t="s">
        <v>431</v>
      </c>
      <c r="C120" t="s">
        <v>103</v>
      </c>
      <c r="D120" t="s">
        <v>432</v>
      </c>
      <c r="E120" t="s">
        <v>492</v>
      </c>
      <c r="F120" t="s">
        <v>433</v>
      </c>
      <c r="G120" t="s">
        <v>104</v>
      </c>
      <c r="H120" t="s">
        <v>113</v>
      </c>
      <c r="I120" t="s">
        <v>115</v>
      </c>
      <c r="J120" t="s">
        <v>259</v>
      </c>
      <c r="K120" t="s">
        <v>101</v>
      </c>
      <c r="L120" t="s">
        <v>327</v>
      </c>
      <c r="M120" s="3" t="s">
        <v>428</v>
      </c>
      <c r="N120" s="3" t="s">
        <v>429</v>
      </c>
      <c r="O120" s="3" t="s">
        <v>331</v>
      </c>
      <c r="P120" s="3" t="s">
        <v>244</v>
      </c>
      <c r="Q120" t="s">
        <v>492</v>
      </c>
      <c r="R120" s="107" t="s">
        <v>765</v>
      </c>
    </row>
    <row r="121" spans="1:18" x14ac:dyDescent="0.25">
      <c r="A121" t="s">
        <v>79</v>
      </c>
      <c r="B121" t="s">
        <v>434</v>
      </c>
      <c r="C121" t="s">
        <v>103</v>
      </c>
      <c r="D121" t="s">
        <v>435</v>
      </c>
      <c r="E121" t="s">
        <v>492</v>
      </c>
      <c r="F121" t="s">
        <v>436</v>
      </c>
      <c r="G121" t="s">
        <v>104</v>
      </c>
      <c r="H121" t="s">
        <v>113</v>
      </c>
      <c r="I121" t="s">
        <v>115</v>
      </c>
      <c r="J121" t="s">
        <v>259</v>
      </c>
      <c r="K121" t="s">
        <v>101</v>
      </c>
      <c r="L121" t="s">
        <v>327</v>
      </c>
      <c r="M121" s="3" t="s">
        <v>428</v>
      </c>
      <c r="N121" s="3" t="s">
        <v>429</v>
      </c>
      <c r="O121" s="3" t="s">
        <v>331</v>
      </c>
      <c r="P121" s="3" t="s">
        <v>244</v>
      </c>
      <c r="Q121" t="s">
        <v>492</v>
      </c>
      <c r="R121" s="107" t="s">
        <v>765</v>
      </c>
    </row>
    <row r="122" spans="1:18" x14ac:dyDescent="0.25">
      <c r="A122" t="s">
        <v>79</v>
      </c>
      <c r="B122" t="s">
        <v>288</v>
      </c>
      <c r="C122" t="s">
        <v>103</v>
      </c>
      <c r="D122" t="s">
        <v>289</v>
      </c>
      <c r="E122" t="s">
        <v>492</v>
      </c>
      <c r="F122" t="s">
        <v>290</v>
      </c>
      <c r="G122" t="s">
        <v>104</v>
      </c>
      <c r="H122" t="s">
        <v>113</v>
      </c>
      <c r="I122" t="s">
        <v>115</v>
      </c>
      <c r="J122" t="s">
        <v>259</v>
      </c>
      <c r="K122" t="s">
        <v>101</v>
      </c>
      <c r="L122" t="s">
        <v>327</v>
      </c>
      <c r="M122" s="3" t="s">
        <v>276</v>
      </c>
      <c r="N122" s="3" t="s">
        <v>280</v>
      </c>
      <c r="O122" s="3" t="s">
        <v>704</v>
      </c>
      <c r="P122" s="3" t="s">
        <v>244</v>
      </c>
      <c r="Q122" t="s">
        <v>492</v>
      </c>
      <c r="R122" s="107" t="s">
        <v>455</v>
      </c>
    </row>
    <row r="123" spans="1:18" x14ac:dyDescent="0.25">
      <c r="A123" t="s">
        <v>79</v>
      </c>
      <c r="B123" t="s">
        <v>705</v>
      </c>
      <c r="C123" t="s">
        <v>103</v>
      </c>
      <c r="D123" t="s">
        <v>706</v>
      </c>
      <c r="E123" t="s">
        <v>707</v>
      </c>
      <c r="F123" t="s">
        <v>219</v>
      </c>
      <c r="G123" t="s">
        <v>708</v>
      </c>
      <c r="H123" t="s">
        <v>709</v>
      </c>
      <c r="I123" t="s">
        <v>195</v>
      </c>
      <c r="J123" t="s">
        <v>259</v>
      </c>
      <c r="K123" t="s">
        <v>218</v>
      </c>
      <c r="L123" t="s">
        <v>328</v>
      </c>
      <c r="M123" s="3" t="s">
        <v>244</v>
      </c>
      <c r="N123" s="3" t="s">
        <v>244</v>
      </c>
      <c r="O123" s="3" t="s">
        <v>710</v>
      </c>
      <c r="P123" s="3" t="s">
        <v>244</v>
      </c>
      <c r="Q123" t="s">
        <v>492</v>
      </c>
      <c r="R123" s="107" t="s">
        <v>762</v>
      </c>
    </row>
    <row r="124" spans="1:18" x14ac:dyDescent="0.25">
      <c r="A124" t="s">
        <v>79</v>
      </c>
      <c r="B124" t="s">
        <v>705</v>
      </c>
      <c r="C124" t="s">
        <v>103</v>
      </c>
      <c r="D124" t="s">
        <v>706</v>
      </c>
      <c r="E124" t="s">
        <v>711</v>
      </c>
      <c r="F124" t="s">
        <v>219</v>
      </c>
      <c r="G124" t="s">
        <v>708</v>
      </c>
      <c r="H124" t="s">
        <v>709</v>
      </c>
      <c r="I124" t="s">
        <v>195</v>
      </c>
      <c r="J124" t="s">
        <v>259</v>
      </c>
      <c r="K124" t="s">
        <v>218</v>
      </c>
      <c r="L124" t="s">
        <v>328</v>
      </c>
      <c r="M124" s="3" t="s">
        <v>244</v>
      </c>
      <c r="N124" s="3" t="s">
        <v>244</v>
      </c>
      <c r="O124" s="3" t="s">
        <v>712</v>
      </c>
      <c r="P124" s="3" t="s">
        <v>244</v>
      </c>
      <c r="Q124" t="s">
        <v>492</v>
      </c>
      <c r="R124" s="107" t="s">
        <v>756</v>
      </c>
    </row>
    <row r="125" spans="1:18" x14ac:dyDescent="0.25">
      <c r="A125" t="s">
        <v>79</v>
      </c>
      <c r="B125" t="s">
        <v>713</v>
      </c>
      <c r="C125" t="s">
        <v>103</v>
      </c>
      <c r="D125" t="s">
        <v>714</v>
      </c>
      <c r="E125" t="s">
        <v>711</v>
      </c>
      <c r="F125" t="s">
        <v>219</v>
      </c>
      <c r="G125" t="s">
        <v>708</v>
      </c>
      <c r="H125" t="s">
        <v>709</v>
      </c>
      <c r="I125" t="s">
        <v>195</v>
      </c>
      <c r="J125" t="s">
        <v>259</v>
      </c>
      <c r="K125" t="s">
        <v>218</v>
      </c>
      <c r="L125" t="s">
        <v>328</v>
      </c>
      <c r="M125" s="3" t="s">
        <v>244</v>
      </c>
      <c r="N125" s="3" t="s">
        <v>244</v>
      </c>
      <c r="O125" s="3" t="s">
        <v>712</v>
      </c>
      <c r="P125" s="3" t="s">
        <v>244</v>
      </c>
      <c r="Q125" t="s">
        <v>492</v>
      </c>
      <c r="R125" s="107" t="s">
        <v>756</v>
      </c>
    </row>
    <row r="126" spans="1:18" x14ac:dyDescent="0.25">
      <c r="A126" t="s">
        <v>79</v>
      </c>
      <c r="B126" t="s">
        <v>713</v>
      </c>
      <c r="C126" t="s">
        <v>103</v>
      </c>
      <c r="D126" t="s">
        <v>714</v>
      </c>
      <c r="E126" t="s">
        <v>707</v>
      </c>
      <c r="F126" t="s">
        <v>219</v>
      </c>
      <c r="G126" t="s">
        <v>708</v>
      </c>
      <c r="H126" t="s">
        <v>709</v>
      </c>
      <c r="I126" t="s">
        <v>195</v>
      </c>
      <c r="J126" t="s">
        <v>259</v>
      </c>
      <c r="K126" t="s">
        <v>218</v>
      </c>
      <c r="L126" t="s">
        <v>328</v>
      </c>
      <c r="M126" s="3" t="s">
        <v>244</v>
      </c>
      <c r="N126" s="3" t="s">
        <v>244</v>
      </c>
      <c r="O126" s="3" t="s">
        <v>712</v>
      </c>
      <c r="P126" s="3" t="s">
        <v>244</v>
      </c>
      <c r="Q126" t="s">
        <v>492</v>
      </c>
      <c r="R126" s="107" t="s">
        <v>756</v>
      </c>
    </row>
    <row r="127" spans="1:18" x14ac:dyDescent="0.25">
      <c r="A127" t="s">
        <v>79</v>
      </c>
      <c r="B127" t="s">
        <v>715</v>
      </c>
      <c r="C127" t="s">
        <v>103</v>
      </c>
      <c r="D127" t="s">
        <v>716</v>
      </c>
      <c r="E127" t="s">
        <v>492</v>
      </c>
      <c r="F127" t="s">
        <v>717</v>
      </c>
      <c r="G127" t="s">
        <v>104</v>
      </c>
      <c r="H127" t="s">
        <v>113</v>
      </c>
      <c r="I127" t="s">
        <v>115</v>
      </c>
      <c r="J127" t="s">
        <v>259</v>
      </c>
      <c r="K127" t="s">
        <v>101</v>
      </c>
      <c r="L127" t="s">
        <v>327</v>
      </c>
      <c r="M127" s="3" t="s">
        <v>421</v>
      </c>
      <c r="N127" s="3" t="s">
        <v>718</v>
      </c>
      <c r="O127" s="3" t="s">
        <v>719</v>
      </c>
      <c r="P127" s="3" t="s">
        <v>244</v>
      </c>
      <c r="Q127" t="s">
        <v>492</v>
      </c>
      <c r="R127" s="107" t="s">
        <v>766</v>
      </c>
    </row>
    <row r="128" spans="1:18" x14ac:dyDescent="0.25">
      <c r="A128" t="s">
        <v>79</v>
      </c>
      <c r="B128" t="s">
        <v>720</v>
      </c>
      <c r="C128" t="s">
        <v>103</v>
      </c>
      <c r="D128" t="s">
        <v>721</v>
      </c>
      <c r="E128" t="s">
        <v>492</v>
      </c>
      <c r="F128" t="s">
        <v>722</v>
      </c>
      <c r="G128" t="s">
        <v>104</v>
      </c>
      <c r="H128" t="s">
        <v>113</v>
      </c>
      <c r="I128" t="s">
        <v>115</v>
      </c>
      <c r="J128" t="s">
        <v>259</v>
      </c>
      <c r="K128" t="s">
        <v>101</v>
      </c>
      <c r="L128" t="s">
        <v>327</v>
      </c>
      <c r="M128" s="3" t="s">
        <v>421</v>
      </c>
      <c r="N128" s="3" t="s">
        <v>718</v>
      </c>
      <c r="O128" s="3" t="s">
        <v>719</v>
      </c>
      <c r="P128" s="3" t="s">
        <v>244</v>
      </c>
      <c r="Q128" t="s">
        <v>492</v>
      </c>
      <c r="R128" s="107" t="s">
        <v>766</v>
      </c>
    </row>
    <row r="129" spans="1:18" x14ac:dyDescent="0.25">
      <c r="A129" t="s">
        <v>79</v>
      </c>
      <c r="B129" t="s">
        <v>281</v>
      </c>
      <c r="C129" t="s">
        <v>103</v>
      </c>
      <c r="D129" t="s">
        <v>282</v>
      </c>
      <c r="E129" t="s">
        <v>492</v>
      </c>
      <c r="F129" t="s">
        <v>283</v>
      </c>
      <c r="G129" t="s">
        <v>104</v>
      </c>
      <c r="H129" t="s">
        <v>113</v>
      </c>
      <c r="I129" t="s">
        <v>115</v>
      </c>
      <c r="J129" t="s">
        <v>259</v>
      </c>
      <c r="K129" t="s">
        <v>101</v>
      </c>
      <c r="L129" t="s">
        <v>327</v>
      </c>
      <c r="M129" s="3" t="s">
        <v>269</v>
      </c>
      <c r="N129" s="3" t="s">
        <v>284</v>
      </c>
      <c r="O129" s="3" t="s">
        <v>333</v>
      </c>
      <c r="P129" s="3" t="s">
        <v>244</v>
      </c>
      <c r="Q129" t="s">
        <v>492</v>
      </c>
      <c r="R129" s="107" t="s">
        <v>403</v>
      </c>
    </row>
    <row r="130" spans="1:18" x14ac:dyDescent="0.25">
      <c r="A130" t="s">
        <v>79</v>
      </c>
      <c r="B130" t="s">
        <v>457</v>
      </c>
      <c r="C130" t="s">
        <v>103</v>
      </c>
      <c r="D130" t="s">
        <v>458</v>
      </c>
      <c r="E130" t="s">
        <v>723</v>
      </c>
      <c r="F130" t="s">
        <v>219</v>
      </c>
      <c r="G130" t="s">
        <v>104</v>
      </c>
      <c r="H130" t="s">
        <v>459</v>
      </c>
      <c r="I130" t="s">
        <v>115</v>
      </c>
      <c r="J130" t="s">
        <v>259</v>
      </c>
      <c r="K130" t="s">
        <v>218</v>
      </c>
      <c r="L130" t="s">
        <v>328</v>
      </c>
      <c r="M130" s="3" t="s">
        <v>460</v>
      </c>
      <c r="N130" s="3" t="s">
        <v>724</v>
      </c>
      <c r="O130" s="3" t="s">
        <v>333</v>
      </c>
      <c r="P130" s="3" t="s">
        <v>244</v>
      </c>
      <c r="Q130" t="s">
        <v>492</v>
      </c>
      <c r="R130" s="107" t="s">
        <v>403</v>
      </c>
    </row>
    <row r="131" spans="1:18" x14ac:dyDescent="0.25">
      <c r="A131" t="s">
        <v>79</v>
      </c>
      <c r="B131" t="s">
        <v>457</v>
      </c>
      <c r="C131" t="s">
        <v>103</v>
      </c>
      <c r="D131" t="s">
        <v>458</v>
      </c>
      <c r="E131" t="s">
        <v>725</v>
      </c>
      <c r="F131" t="s">
        <v>219</v>
      </c>
      <c r="G131" t="s">
        <v>104</v>
      </c>
      <c r="H131" t="s">
        <v>459</v>
      </c>
      <c r="I131" t="s">
        <v>115</v>
      </c>
      <c r="J131" t="s">
        <v>259</v>
      </c>
      <c r="K131" t="s">
        <v>218</v>
      </c>
      <c r="L131" t="s">
        <v>328</v>
      </c>
      <c r="M131" s="3" t="s">
        <v>460</v>
      </c>
      <c r="N131" s="3" t="s">
        <v>724</v>
      </c>
      <c r="O131" s="3" t="s">
        <v>333</v>
      </c>
      <c r="P131" s="3" t="s">
        <v>244</v>
      </c>
      <c r="Q131" t="s">
        <v>492</v>
      </c>
      <c r="R131" s="107" t="s">
        <v>403</v>
      </c>
    </row>
    <row r="132" spans="1:18" x14ac:dyDescent="0.25">
      <c r="A132" t="s">
        <v>79</v>
      </c>
      <c r="B132" t="s">
        <v>457</v>
      </c>
      <c r="C132" t="s">
        <v>103</v>
      </c>
      <c r="D132" t="s">
        <v>458</v>
      </c>
      <c r="E132" t="s">
        <v>726</v>
      </c>
      <c r="F132" t="s">
        <v>219</v>
      </c>
      <c r="G132" t="s">
        <v>104</v>
      </c>
      <c r="H132" t="s">
        <v>459</v>
      </c>
      <c r="I132" t="s">
        <v>115</v>
      </c>
      <c r="J132" t="s">
        <v>259</v>
      </c>
      <c r="K132" t="s">
        <v>218</v>
      </c>
      <c r="L132" t="s">
        <v>328</v>
      </c>
      <c r="M132" s="3" t="s">
        <v>460</v>
      </c>
      <c r="N132" s="3" t="s">
        <v>724</v>
      </c>
      <c r="O132" s="3" t="s">
        <v>333</v>
      </c>
      <c r="P132" s="3" t="s">
        <v>244</v>
      </c>
      <c r="Q132" t="s">
        <v>492</v>
      </c>
      <c r="R132" s="107" t="s">
        <v>403</v>
      </c>
    </row>
    <row r="133" spans="1:18" x14ac:dyDescent="0.25">
      <c r="A133" t="s">
        <v>79</v>
      </c>
      <c r="B133" t="s">
        <v>457</v>
      </c>
      <c r="C133" t="s">
        <v>103</v>
      </c>
      <c r="D133" t="s">
        <v>458</v>
      </c>
      <c r="E133" t="s">
        <v>727</v>
      </c>
      <c r="F133" t="s">
        <v>219</v>
      </c>
      <c r="G133" t="s">
        <v>104</v>
      </c>
      <c r="H133" t="s">
        <v>459</v>
      </c>
      <c r="I133" t="s">
        <v>115</v>
      </c>
      <c r="J133" t="s">
        <v>259</v>
      </c>
      <c r="K133" t="s">
        <v>218</v>
      </c>
      <c r="L133" t="s">
        <v>328</v>
      </c>
      <c r="M133" s="3" t="s">
        <v>460</v>
      </c>
      <c r="N133" s="3" t="s">
        <v>724</v>
      </c>
      <c r="O133" s="3" t="s">
        <v>333</v>
      </c>
      <c r="P133" s="3" t="s">
        <v>244</v>
      </c>
      <c r="Q133" t="s">
        <v>492</v>
      </c>
      <c r="R133" s="107" t="s">
        <v>403</v>
      </c>
    </row>
    <row r="134" spans="1:18" x14ac:dyDescent="0.25">
      <c r="A134" t="s">
        <v>79</v>
      </c>
      <c r="B134" t="s">
        <v>450</v>
      </c>
      <c r="C134" t="s">
        <v>103</v>
      </c>
      <c r="D134" t="s">
        <v>451</v>
      </c>
      <c r="E134" t="s">
        <v>728</v>
      </c>
      <c r="F134" t="s">
        <v>219</v>
      </c>
      <c r="G134" t="s">
        <v>161</v>
      </c>
      <c r="H134" t="s">
        <v>452</v>
      </c>
      <c r="I134" t="s">
        <v>453</v>
      </c>
      <c r="J134" t="s">
        <v>259</v>
      </c>
      <c r="K134" t="s">
        <v>218</v>
      </c>
      <c r="L134" t="s">
        <v>328</v>
      </c>
      <c r="M134" s="3" t="s">
        <v>269</v>
      </c>
      <c r="N134" s="3" t="s">
        <v>454</v>
      </c>
      <c r="O134" s="3" t="s">
        <v>729</v>
      </c>
      <c r="P134" s="3" t="s">
        <v>244</v>
      </c>
      <c r="Q134" t="s">
        <v>492</v>
      </c>
      <c r="R134" s="107" t="s">
        <v>378</v>
      </c>
    </row>
    <row r="135" spans="1:18" x14ac:dyDescent="0.25">
      <c r="A135" t="s">
        <v>79</v>
      </c>
      <c r="B135" t="s">
        <v>730</v>
      </c>
      <c r="C135" t="s">
        <v>103</v>
      </c>
      <c r="D135" t="s">
        <v>731</v>
      </c>
      <c r="E135" t="s">
        <v>492</v>
      </c>
      <c r="F135" t="s">
        <v>732</v>
      </c>
      <c r="G135" t="s">
        <v>104</v>
      </c>
      <c r="H135" t="s">
        <v>113</v>
      </c>
      <c r="I135" t="s">
        <v>115</v>
      </c>
      <c r="J135" t="s">
        <v>259</v>
      </c>
      <c r="K135" t="s">
        <v>101</v>
      </c>
      <c r="L135" t="s">
        <v>327</v>
      </c>
      <c r="M135" s="3" t="s">
        <v>269</v>
      </c>
      <c r="N135" s="3" t="s">
        <v>677</v>
      </c>
      <c r="O135" s="3" t="s">
        <v>287</v>
      </c>
      <c r="P135" s="3" t="s">
        <v>244</v>
      </c>
      <c r="Q135" t="s">
        <v>492</v>
      </c>
      <c r="R135" s="107" t="s">
        <v>417</v>
      </c>
    </row>
    <row r="136" spans="1:18" x14ac:dyDescent="0.25">
      <c r="A136" t="s">
        <v>79</v>
      </c>
      <c r="B136" t="s">
        <v>733</v>
      </c>
      <c r="C136" t="s">
        <v>103</v>
      </c>
      <c r="D136" t="s">
        <v>734</v>
      </c>
      <c r="E136" t="s">
        <v>505</v>
      </c>
      <c r="F136" t="s">
        <v>735</v>
      </c>
      <c r="G136" t="s">
        <v>104</v>
      </c>
      <c r="H136" t="s">
        <v>105</v>
      </c>
      <c r="I136" t="s">
        <v>106</v>
      </c>
      <c r="J136" t="s">
        <v>259</v>
      </c>
      <c r="K136" t="s">
        <v>101</v>
      </c>
      <c r="L136" t="s">
        <v>326</v>
      </c>
      <c r="M136" s="3" t="s">
        <v>322</v>
      </c>
      <c r="N136" s="3" t="s">
        <v>336</v>
      </c>
      <c r="O136" s="3" t="s">
        <v>420</v>
      </c>
      <c r="P136" s="3" t="s">
        <v>244</v>
      </c>
      <c r="Q136" t="s">
        <v>492</v>
      </c>
      <c r="R136" s="107" t="s">
        <v>767</v>
      </c>
    </row>
    <row r="137" spans="1:18" x14ac:dyDescent="0.25">
      <c r="A137" t="s">
        <v>79</v>
      </c>
      <c r="B137" t="s">
        <v>448</v>
      </c>
      <c r="C137" t="s">
        <v>103</v>
      </c>
      <c r="D137" t="s">
        <v>449</v>
      </c>
      <c r="E137" t="s">
        <v>492</v>
      </c>
      <c r="F137" t="s">
        <v>397</v>
      </c>
      <c r="G137" t="s">
        <v>104</v>
      </c>
      <c r="H137" t="s">
        <v>113</v>
      </c>
      <c r="I137" t="s">
        <v>115</v>
      </c>
      <c r="J137" t="s">
        <v>259</v>
      </c>
      <c r="K137" t="s">
        <v>101</v>
      </c>
      <c r="L137" t="s">
        <v>327</v>
      </c>
      <c r="M137" s="3" t="s">
        <v>322</v>
      </c>
      <c r="N137" s="3" t="s">
        <v>336</v>
      </c>
      <c r="O137" s="3" t="s">
        <v>420</v>
      </c>
      <c r="P137" s="3" t="s">
        <v>244</v>
      </c>
      <c r="Q137" t="s">
        <v>492</v>
      </c>
      <c r="R137" s="107" t="s">
        <v>767</v>
      </c>
    </row>
    <row r="138" spans="1:18" x14ac:dyDescent="0.25">
      <c r="A138" t="s">
        <v>79</v>
      </c>
      <c r="B138" t="s">
        <v>736</v>
      </c>
      <c r="C138" t="s">
        <v>103</v>
      </c>
      <c r="D138" t="s">
        <v>737</v>
      </c>
      <c r="E138" t="s">
        <v>492</v>
      </c>
      <c r="F138" t="s">
        <v>738</v>
      </c>
      <c r="G138" t="s">
        <v>104</v>
      </c>
      <c r="H138" t="s">
        <v>113</v>
      </c>
      <c r="I138" t="s">
        <v>115</v>
      </c>
      <c r="J138" t="s">
        <v>259</v>
      </c>
      <c r="K138" t="s">
        <v>101</v>
      </c>
      <c r="L138" t="s">
        <v>327</v>
      </c>
      <c r="M138" s="3" t="s">
        <v>322</v>
      </c>
      <c r="N138" s="3" t="s">
        <v>336</v>
      </c>
      <c r="O138" s="3" t="s">
        <v>420</v>
      </c>
      <c r="P138" s="3" t="s">
        <v>244</v>
      </c>
      <c r="Q138" t="s">
        <v>492</v>
      </c>
      <c r="R138" s="107" t="s">
        <v>767</v>
      </c>
    </row>
    <row r="139" spans="1:18" x14ac:dyDescent="0.25">
      <c r="A139" t="s">
        <v>79</v>
      </c>
      <c r="B139" t="s">
        <v>739</v>
      </c>
      <c r="C139" t="s">
        <v>103</v>
      </c>
      <c r="D139" t="s">
        <v>740</v>
      </c>
      <c r="E139" t="s">
        <v>741</v>
      </c>
      <c r="F139" t="s">
        <v>742</v>
      </c>
      <c r="G139" t="s">
        <v>104</v>
      </c>
      <c r="H139" t="s">
        <v>743</v>
      </c>
      <c r="I139" t="s">
        <v>115</v>
      </c>
      <c r="J139" t="s">
        <v>259</v>
      </c>
      <c r="K139" t="s">
        <v>101</v>
      </c>
      <c r="L139" t="s">
        <v>328</v>
      </c>
      <c r="M139" s="3" t="s">
        <v>275</v>
      </c>
      <c r="N139" s="3" t="s">
        <v>744</v>
      </c>
      <c r="O139" s="3" t="s">
        <v>430</v>
      </c>
      <c r="P139" s="3" t="s">
        <v>244</v>
      </c>
      <c r="Q139" t="s">
        <v>492</v>
      </c>
      <c r="R139" s="107" t="s">
        <v>768</v>
      </c>
    </row>
    <row r="140" spans="1:18" x14ac:dyDescent="0.25">
      <c r="M140" s="3"/>
      <c r="N140" s="3"/>
      <c r="O140" s="3"/>
      <c r="P140" s="3"/>
      <c r="R140" s="107"/>
    </row>
    <row r="141" spans="1:18" x14ac:dyDescent="0.25">
      <c r="M141" s="3"/>
      <c r="N141" s="3"/>
      <c r="O141" s="3"/>
      <c r="P141" s="3"/>
      <c r="R141" s="107"/>
    </row>
    <row r="142" spans="1:18" x14ac:dyDescent="0.25">
      <c r="M142" s="3"/>
      <c r="N142" s="3"/>
      <c r="O142" s="3"/>
      <c r="P142" s="3"/>
      <c r="R142" s="107"/>
    </row>
    <row r="143" spans="1:18" x14ac:dyDescent="0.25">
      <c r="M143" s="3"/>
      <c r="N143" s="3"/>
      <c r="O143" s="3"/>
      <c r="P143" s="3"/>
      <c r="R143" s="107"/>
    </row>
    <row r="144" spans="1:18" x14ac:dyDescent="0.25">
      <c r="M144" s="3"/>
      <c r="N144" s="3"/>
      <c r="O144" s="3"/>
      <c r="P144" s="3"/>
      <c r="R144" s="107"/>
    </row>
    <row r="145" spans="13:18" x14ac:dyDescent="0.25">
      <c r="M145" s="3"/>
      <c r="N145" s="3"/>
      <c r="O145" s="3"/>
      <c r="P145" s="3"/>
      <c r="R145" s="70"/>
    </row>
    <row r="146" spans="13:18" x14ac:dyDescent="0.25">
      <c r="M146" s="3"/>
      <c r="N146" s="3"/>
      <c r="O146" s="3"/>
      <c r="P146" s="3"/>
      <c r="R146" s="70"/>
    </row>
    <row r="147" spans="13:18" x14ac:dyDescent="0.25">
      <c r="M147" s="3"/>
      <c r="N147" s="3"/>
      <c r="O147" s="3"/>
      <c r="P147" s="3"/>
      <c r="R147" s="70"/>
    </row>
    <row r="148" spans="13:18" x14ac:dyDescent="0.25">
      <c r="M148" s="3"/>
      <c r="N148" s="3"/>
      <c r="O148" s="3"/>
      <c r="P148" s="3"/>
      <c r="R148" s="107"/>
    </row>
    <row r="149" spans="13:18" x14ac:dyDescent="0.25">
      <c r="M149" s="3"/>
      <c r="N149" s="3"/>
      <c r="O149" s="3"/>
      <c r="P149" s="3"/>
      <c r="R149" s="107"/>
    </row>
    <row r="150" spans="13:18" x14ac:dyDescent="0.25">
      <c r="M150" s="3"/>
      <c r="N150" s="3"/>
      <c r="O150" s="3"/>
      <c r="P150" s="3"/>
      <c r="R150" s="107"/>
    </row>
    <row r="151" spans="13:18" x14ac:dyDescent="0.25">
      <c r="M151" s="3"/>
      <c r="N151" s="3"/>
      <c r="O151" s="3"/>
      <c r="P151" s="3"/>
      <c r="R151" s="107"/>
    </row>
    <row r="152" spans="13:18" x14ac:dyDescent="0.25">
      <c r="M152" s="3"/>
      <c r="N152" s="3"/>
      <c r="O152" s="3"/>
      <c r="P152" s="3"/>
      <c r="R152" s="107"/>
    </row>
    <row r="153" spans="13:18" x14ac:dyDescent="0.25">
      <c r="M153" s="3"/>
      <c r="N153" s="3"/>
      <c r="O153" s="3"/>
      <c r="P153" s="3"/>
      <c r="R153" s="107"/>
    </row>
    <row r="154" spans="13:18" x14ac:dyDescent="0.25">
      <c r="M154" s="3"/>
      <c r="N154" s="3"/>
      <c r="O154" s="3"/>
      <c r="P154" s="3"/>
      <c r="R154" s="107"/>
    </row>
    <row r="155" spans="13:18" x14ac:dyDescent="0.25">
      <c r="M155" s="3"/>
      <c r="N155" s="3"/>
      <c r="O155" s="3"/>
      <c r="P155" s="3"/>
      <c r="R155" s="70"/>
    </row>
    <row r="156" spans="13:18" x14ac:dyDescent="0.25">
      <c r="M156" s="3"/>
      <c r="N156" s="3"/>
      <c r="O156" s="3"/>
      <c r="P156" s="3"/>
      <c r="R156" s="70"/>
    </row>
    <row r="157" spans="13:18" x14ac:dyDescent="0.25">
      <c r="M157" s="3"/>
      <c r="N157" s="3"/>
      <c r="O157" s="3"/>
      <c r="P157" s="3"/>
      <c r="R157" s="70"/>
    </row>
    <row r="158" spans="13:18" x14ac:dyDescent="0.25">
      <c r="M158" s="3"/>
      <c r="N158" s="3"/>
      <c r="O158" s="3"/>
      <c r="P158" s="3"/>
      <c r="R158" s="70"/>
    </row>
    <row r="159" spans="13:18" x14ac:dyDescent="0.25">
      <c r="M159" s="3"/>
      <c r="N159" s="3"/>
      <c r="O159" s="3"/>
      <c r="P159" s="3"/>
      <c r="R159" s="70"/>
    </row>
    <row r="160" spans="13:18" x14ac:dyDescent="0.25">
      <c r="M160" s="3"/>
      <c r="N160" s="3"/>
      <c r="O160" s="3"/>
      <c r="P160" s="3"/>
      <c r="R160" s="70"/>
    </row>
    <row r="161" spans="13:18" x14ac:dyDescent="0.25">
      <c r="M161" s="3"/>
      <c r="N161" s="3"/>
      <c r="O161" s="3"/>
      <c r="P161" s="3"/>
      <c r="R161" s="107"/>
    </row>
    <row r="162" spans="13:18" x14ac:dyDescent="0.25">
      <c r="M162" s="3"/>
      <c r="N162" s="3"/>
      <c r="O162" s="3"/>
      <c r="P162" s="3"/>
      <c r="R162" s="107"/>
    </row>
    <row r="163" spans="13:18" x14ac:dyDescent="0.25">
      <c r="M163" s="3"/>
      <c r="N163" s="3"/>
      <c r="O163" s="3"/>
      <c r="P163" s="3"/>
      <c r="R163" s="107"/>
    </row>
    <row r="164" spans="13:18" x14ac:dyDescent="0.25">
      <c r="M164" s="3"/>
      <c r="N164" s="3"/>
      <c r="O164" s="3"/>
      <c r="P164" s="3"/>
      <c r="R164" s="107"/>
    </row>
    <row r="165" spans="13:18" x14ac:dyDescent="0.25">
      <c r="M165" s="3"/>
      <c r="N165" s="3"/>
      <c r="O165" s="3"/>
      <c r="P165" s="3"/>
      <c r="R165" s="107"/>
    </row>
    <row r="166" spans="13:18" x14ac:dyDescent="0.25">
      <c r="M166" s="3"/>
      <c r="N166" s="3"/>
      <c r="O166" s="3"/>
      <c r="P166" s="3"/>
      <c r="R166" s="107"/>
    </row>
    <row r="167" spans="13:18" x14ac:dyDescent="0.25">
      <c r="M167" s="3"/>
      <c r="N167" s="3"/>
      <c r="O167" s="3"/>
      <c r="P167" s="3"/>
      <c r="R167" s="107"/>
    </row>
    <row r="168" spans="13:18" x14ac:dyDescent="0.25">
      <c r="M168" s="3"/>
      <c r="N168" s="3"/>
      <c r="O168" s="3"/>
      <c r="P168" s="3"/>
      <c r="R168" s="107"/>
    </row>
    <row r="169" spans="13:18" x14ac:dyDescent="0.25">
      <c r="M169" s="3"/>
      <c r="N169" s="3"/>
      <c r="O169" s="3"/>
      <c r="P169" s="3"/>
      <c r="R169" s="70"/>
    </row>
    <row r="170" spans="13:18" x14ac:dyDescent="0.25">
      <c r="M170" s="3"/>
      <c r="N170" s="3"/>
      <c r="O170" s="3"/>
      <c r="P170" s="3"/>
      <c r="R170" s="107"/>
    </row>
    <row r="171" spans="13:18" x14ac:dyDescent="0.25">
      <c r="M171" s="3"/>
      <c r="N171" s="3"/>
      <c r="O171" s="3"/>
      <c r="P171" s="3"/>
      <c r="R171" s="107"/>
    </row>
    <row r="172" spans="13:18" x14ac:dyDescent="0.25">
      <c r="M172" s="3"/>
      <c r="N172" s="3"/>
      <c r="O172" s="3"/>
      <c r="P172" s="3"/>
      <c r="R172" s="107"/>
    </row>
    <row r="173" spans="13:18" x14ac:dyDescent="0.25">
      <c r="M173" s="3"/>
      <c r="N173" s="3"/>
      <c r="O173" s="3"/>
      <c r="P173" s="3"/>
      <c r="R173" s="107"/>
    </row>
    <row r="174" spans="13:18" x14ac:dyDescent="0.25">
      <c r="M174" s="3"/>
      <c r="N174" s="3"/>
      <c r="O174" s="3"/>
      <c r="P174" s="3"/>
      <c r="R174" s="107"/>
    </row>
    <row r="175" spans="13:18" x14ac:dyDescent="0.25">
      <c r="M175" s="3"/>
      <c r="N175" s="3"/>
      <c r="O175" s="3"/>
      <c r="P175" s="3"/>
      <c r="R175" s="107"/>
    </row>
    <row r="176" spans="13:18" x14ac:dyDescent="0.25">
      <c r="M176" s="3"/>
      <c r="N176" s="3"/>
      <c r="O176" s="3"/>
      <c r="P176" s="3"/>
      <c r="R176" s="107"/>
    </row>
    <row r="177" spans="13:18" x14ac:dyDescent="0.25">
      <c r="M177" s="3"/>
      <c r="N177" s="3"/>
      <c r="O177" s="3"/>
      <c r="P177" s="3"/>
      <c r="R177" s="107"/>
    </row>
    <row r="178" spans="13:18" x14ac:dyDescent="0.25">
      <c r="M178" s="3"/>
      <c r="N178" s="3"/>
      <c r="O178" s="3"/>
      <c r="P178" s="3"/>
      <c r="R178" s="107"/>
    </row>
    <row r="179" spans="13:18" x14ac:dyDescent="0.25">
      <c r="M179" s="3"/>
      <c r="N179" s="3"/>
      <c r="O179" s="3"/>
      <c r="P179" s="3"/>
      <c r="R179" s="107"/>
    </row>
    <row r="180" spans="13:18" x14ac:dyDescent="0.25">
      <c r="M180" s="3"/>
      <c r="N180" s="3"/>
      <c r="O180" s="3"/>
      <c r="P180" s="3"/>
      <c r="R180" s="107"/>
    </row>
    <row r="181" spans="13:18" x14ac:dyDescent="0.25">
      <c r="M181" s="3"/>
      <c r="N181" s="3"/>
      <c r="O181" s="3"/>
      <c r="P181" s="3"/>
      <c r="R181" s="107"/>
    </row>
    <row r="182" spans="13:18" x14ac:dyDescent="0.25">
      <c r="M182" s="3"/>
      <c r="N182" s="3"/>
      <c r="O182" s="3"/>
      <c r="P182" s="3"/>
      <c r="R182" s="107"/>
    </row>
    <row r="183" spans="13:18" x14ac:dyDescent="0.25">
      <c r="M183" s="3"/>
      <c r="N183" s="3"/>
      <c r="O183" s="3"/>
      <c r="P183" s="3"/>
      <c r="R183" s="107"/>
    </row>
  </sheetData>
  <mergeCells count="1">
    <mergeCell ref="E1:F1"/>
  </mergeCells>
  <phoneticPr fontId="3"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E3A22-BC61-4673-A144-020141CB6164}">
  <sheetPr codeName="Sheet2">
    <tabColor rgb="FFFF0000"/>
  </sheetPr>
  <dimension ref="A1:Z183"/>
  <sheetViews>
    <sheetView zoomScale="75" zoomScaleNormal="75" workbookViewId="0">
      <pane ySplit="3" topLeftCell="A4" activePane="bottomLeft" state="frozen"/>
      <selection activeCell="B28" sqref="B28"/>
      <selection pane="bottomLeft" activeCell="L19" sqref="L19"/>
    </sheetView>
  </sheetViews>
  <sheetFormatPr defaultRowHeight="15" x14ac:dyDescent="0.25"/>
  <cols>
    <col min="1" max="1" width="24" customWidth="1"/>
    <col min="2" max="3" width="19.5703125" customWidth="1"/>
    <col min="4" max="4" width="14" style="16" customWidth="1"/>
    <col min="5" max="5" width="14" style="3" customWidth="1"/>
    <col min="6" max="6" width="14" style="25" customWidth="1"/>
    <col min="7" max="7" width="9.5703125" customWidth="1"/>
    <col min="8" max="8" width="13" style="4" bestFit="1" customWidth="1"/>
    <col min="9" max="10" width="10.5703125" style="4" bestFit="1" customWidth="1"/>
    <col min="11" max="11" width="8.42578125" style="58" customWidth="1"/>
    <col min="12" max="12" width="12.5703125" customWidth="1"/>
    <col min="13" max="13" width="11.140625" bestFit="1" customWidth="1"/>
    <col min="14" max="14" width="30.7109375" customWidth="1"/>
    <col min="15" max="15" width="9.7109375" bestFit="1" customWidth="1"/>
    <col min="16" max="16" width="13.140625" customWidth="1"/>
    <col min="17" max="17" width="32.28515625" bestFit="1" customWidth="1"/>
    <col min="18" max="18" width="5.5703125" bestFit="1" customWidth="1"/>
    <col min="19" max="19" width="35.140625" bestFit="1" customWidth="1"/>
    <col min="20" max="20" width="255.7109375" bestFit="1" customWidth="1"/>
    <col min="21" max="21" width="18.85546875" bestFit="1" customWidth="1"/>
    <col min="22" max="22" width="22.42578125" bestFit="1" customWidth="1"/>
    <col min="23" max="23" width="27.42578125" bestFit="1" customWidth="1"/>
    <col min="24" max="24" width="8.42578125" bestFit="1" customWidth="1"/>
    <col min="25" max="25" width="8.140625" bestFit="1" customWidth="1"/>
    <col min="26" max="26" width="10.85546875" bestFit="1" customWidth="1"/>
  </cols>
  <sheetData>
    <row r="1" spans="1:26" ht="39.75" customHeight="1" thickBot="1" x14ac:dyDescent="0.3">
      <c r="A1" s="126" t="s">
        <v>298</v>
      </c>
      <c r="B1" s="127"/>
      <c r="C1" s="127"/>
      <c r="D1" s="127"/>
      <c r="E1" s="127"/>
      <c r="F1" s="127"/>
      <c r="G1" s="128"/>
      <c r="H1"/>
      <c r="I1"/>
      <c r="J1"/>
      <c r="K1"/>
    </row>
    <row r="2" spans="1:26" x14ac:dyDescent="0.25">
      <c r="D2" s="24"/>
      <c r="F2" s="4"/>
      <c r="I2" s="26"/>
      <c r="J2" s="23"/>
      <c r="K2"/>
      <c r="L2" s="24"/>
      <c r="M2" s="24"/>
      <c r="N2" s="24"/>
      <c r="P2" s="24"/>
      <c r="Z2" s="24"/>
    </row>
    <row r="3" spans="1:26" s="1" customFormat="1" ht="78.75" customHeight="1" x14ac:dyDescent="0.25">
      <c r="A3" s="94" t="s">
        <v>83</v>
      </c>
      <c r="B3" s="94" t="s">
        <v>305</v>
      </c>
      <c r="C3" s="94" t="s">
        <v>306</v>
      </c>
      <c r="D3" s="94" t="s">
        <v>359</v>
      </c>
      <c r="E3" s="94" t="s">
        <v>360</v>
      </c>
      <c r="F3" s="94" t="s">
        <v>348</v>
      </c>
      <c r="G3" s="90" t="s">
        <v>84</v>
      </c>
      <c r="H3" s="91" t="s">
        <v>85</v>
      </c>
      <c r="I3" s="92" t="s">
        <v>349</v>
      </c>
      <c r="J3" s="92" t="s">
        <v>350</v>
      </c>
      <c r="K3" s="93" t="s">
        <v>86</v>
      </c>
      <c r="L3" s="93" t="s">
        <v>87</v>
      </c>
      <c r="M3" s="95" t="s">
        <v>88</v>
      </c>
      <c r="N3" s="95" t="s">
        <v>351</v>
      </c>
      <c r="O3" s="95" t="s">
        <v>89</v>
      </c>
      <c r="P3" s="95" t="s">
        <v>90</v>
      </c>
      <c r="Q3" s="95" t="s">
        <v>91</v>
      </c>
      <c r="R3" s="95" t="s">
        <v>92</v>
      </c>
      <c r="S3" s="95" t="s">
        <v>93</v>
      </c>
      <c r="T3" s="95" t="s">
        <v>94</v>
      </c>
      <c r="U3" s="95" t="s">
        <v>95</v>
      </c>
      <c r="V3" s="95" t="s">
        <v>96</v>
      </c>
      <c r="W3" s="95" t="s">
        <v>97</v>
      </c>
      <c r="X3" s="95" t="s">
        <v>98</v>
      </c>
      <c r="Y3" s="95" t="s">
        <v>325</v>
      </c>
      <c r="Z3" s="95" t="s">
        <v>99</v>
      </c>
    </row>
    <row r="4" spans="1:26" x14ac:dyDescent="0.25">
      <c r="A4" s="65"/>
      <c r="B4" s="66"/>
      <c r="C4" s="66"/>
      <c r="D4" s="27" cm="1">
        <f t="array" ref="D4">IF(I4="---","---",SumHH((I4,L4),(M4,P4)))</f>
        <v>90.840972222222206</v>
      </c>
      <c r="E4" s="23" t="str">
        <f t="shared" ref="E4:E35" si="0">IF(J4&lt;&gt;"---",($J4+$L4)-($P4+$M4),"---")</f>
        <v>---</v>
      </c>
      <c r="F4" s="25" t="str">
        <f>IF(G4="DD",('Item Usage'!$D$101+L4)-(P4+M4),"---")</f>
        <v>---</v>
      </c>
      <c r="G4" s="42" t="s">
        <v>43</v>
      </c>
      <c r="H4" s="42" t="s">
        <v>44</v>
      </c>
      <c r="I4" s="27">
        <f>_xlfn.XLOOKUP(G4,'Item Usage'!$B$59:$B$65,'Item Usage'!$D$59:$D$65,"---",0,1)</f>
        <v>97.156249999999986</v>
      </c>
      <c r="J4" s="23" t="str">
        <f>_xlfn.XLOOKUP(G4,'Item Usage'!$B$70:$B$100,'Item Usage'!$D$70:$D$100,"---",0,1)</f>
        <v>---</v>
      </c>
      <c r="K4" s="42" t="s">
        <v>492</v>
      </c>
      <c r="L4" s="27">
        <v>2.0180555555555557</v>
      </c>
      <c r="M4" s="27">
        <v>0</v>
      </c>
      <c r="N4" s="4"/>
      <c r="O4" s="42" t="s">
        <v>101</v>
      </c>
      <c r="P4" s="27">
        <v>8.3333333333333339</v>
      </c>
      <c r="Q4" s="63" t="s">
        <v>493</v>
      </c>
      <c r="R4" s="42">
        <v>0</v>
      </c>
      <c r="S4" s="63"/>
      <c r="T4" s="63" t="s">
        <v>494</v>
      </c>
      <c r="U4" s="42" t="s">
        <v>495</v>
      </c>
      <c r="V4" s="63" t="s">
        <v>105</v>
      </c>
      <c r="W4" s="58">
        <v>7200010</v>
      </c>
      <c r="X4" s="42">
        <v>64643</v>
      </c>
      <c r="Y4" s="42" t="s">
        <v>326</v>
      </c>
      <c r="Z4" s="27">
        <v>7.5</v>
      </c>
    </row>
    <row r="5" spans="1:26" x14ac:dyDescent="0.25">
      <c r="A5" s="65"/>
      <c r="B5" s="66"/>
      <c r="C5" s="66"/>
      <c r="D5" s="27" cm="1">
        <f t="array" ref="D5">IF(I5="---","---",SumHH((I5,L5),(M5,P5)))</f>
        <v>85.311111111111089</v>
      </c>
      <c r="E5" s="23" t="str">
        <f t="shared" si="0"/>
        <v>---</v>
      </c>
      <c r="F5" s="25" t="str">
        <f>IF(G5="DD",('Item Usage'!$D$101+L5)-(P5+M5),"---")</f>
        <v>---</v>
      </c>
      <c r="G5" s="42" t="s">
        <v>43</v>
      </c>
      <c r="H5" s="42" t="s">
        <v>44</v>
      </c>
      <c r="I5" s="27">
        <f>_xlfn.XLOOKUP(G5,'Item Usage'!$B$59:$B$65,'Item Usage'!$D$59:$D$65,"---",0,1)</f>
        <v>97.156249999999986</v>
      </c>
      <c r="J5" s="23" t="str">
        <f>_xlfn.XLOOKUP(G5,'Item Usage'!$B$70:$B$100,'Item Usage'!$D$70:$D$100,"---",0,1)</f>
        <v>---</v>
      </c>
      <c r="K5" s="42" t="s">
        <v>492</v>
      </c>
      <c r="L5" s="27">
        <v>4.8215277777777779</v>
      </c>
      <c r="M5" s="27">
        <v>0</v>
      </c>
      <c r="N5" s="4"/>
      <c r="O5" s="42" t="s">
        <v>101</v>
      </c>
      <c r="P5" s="27">
        <v>16.666666666666668</v>
      </c>
      <c r="Q5" s="63" t="s">
        <v>498</v>
      </c>
      <c r="R5" s="42">
        <v>0</v>
      </c>
      <c r="S5" s="63"/>
      <c r="T5" s="63" t="s">
        <v>499</v>
      </c>
      <c r="U5" s="42" t="s">
        <v>495</v>
      </c>
      <c r="V5" s="63" t="s">
        <v>105</v>
      </c>
      <c r="W5" s="58">
        <v>7200005</v>
      </c>
      <c r="X5" s="42">
        <v>64643</v>
      </c>
      <c r="Y5" s="42" t="s">
        <v>326</v>
      </c>
      <c r="Z5" s="27">
        <v>15.416666666666666</v>
      </c>
    </row>
    <row r="6" spans="1:26" x14ac:dyDescent="0.25">
      <c r="A6" s="65"/>
      <c r="B6" s="66"/>
      <c r="C6" s="66"/>
      <c r="D6" s="27" cm="1">
        <f t="array" ref="D6">IF(I6="---","---",SumHH((I6,L6),(M6,P6)))</f>
        <v>85.311111111111089</v>
      </c>
      <c r="E6" s="23" t="str">
        <f t="shared" si="0"/>
        <v>---</v>
      </c>
      <c r="F6" s="25" t="str">
        <f>IF(G6="DD",('Item Usage'!$D$101+L6)-(P6+M6),"---")</f>
        <v>---</v>
      </c>
      <c r="G6" s="42" t="s">
        <v>43</v>
      </c>
      <c r="H6" s="42" t="s">
        <v>44</v>
      </c>
      <c r="I6" s="27">
        <f>_xlfn.XLOOKUP(G6,'Item Usage'!$B$59:$B$65,'Item Usage'!$D$59:$D$65,"---",0,1)</f>
        <v>97.156249999999986</v>
      </c>
      <c r="J6" s="23" t="str">
        <f>_xlfn.XLOOKUP(G6,'Item Usage'!$B$70:$B$100,'Item Usage'!$D$70:$D$100,"---",0,1)</f>
        <v>---</v>
      </c>
      <c r="K6" s="42" t="s">
        <v>492</v>
      </c>
      <c r="L6" s="27">
        <v>4.8215277777777779</v>
      </c>
      <c r="M6" s="27">
        <v>0</v>
      </c>
      <c r="N6" s="4"/>
      <c r="O6" s="42" t="s">
        <v>101</v>
      </c>
      <c r="P6" s="27">
        <v>16.666666666666668</v>
      </c>
      <c r="Q6" s="63" t="s">
        <v>502</v>
      </c>
      <c r="R6" s="42">
        <v>0</v>
      </c>
      <c r="S6" s="63"/>
      <c r="T6" s="63" t="s">
        <v>503</v>
      </c>
      <c r="U6" s="42" t="s">
        <v>495</v>
      </c>
      <c r="V6" s="63" t="s">
        <v>105</v>
      </c>
      <c r="W6" s="58">
        <v>7200008</v>
      </c>
      <c r="X6" s="42">
        <v>64643</v>
      </c>
      <c r="Y6" s="42" t="s">
        <v>326</v>
      </c>
      <c r="Z6" s="27">
        <v>15.416666666666666</v>
      </c>
    </row>
    <row r="7" spans="1:26" x14ac:dyDescent="0.25">
      <c r="A7" s="65"/>
      <c r="B7" s="66"/>
      <c r="C7" s="66"/>
      <c r="D7" s="27" cm="1">
        <f t="array" ref="D7">IF(I7="---","---",SumHH((I7,L7),(M7,P7)))</f>
        <v>92.671527777777783</v>
      </c>
      <c r="E7" s="23" t="str">
        <f t="shared" si="0"/>
        <v>---</v>
      </c>
      <c r="F7" s="25" t="str">
        <f>IF(G7="DD",('Item Usage'!$D$101+L7)-(P7+M7),"---")</f>
        <v>---</v>
      </c>
      <c r="G7" s="42" t="s">
        <v>56</v>
      </c>
      <c r="H7" s="42" t="s">
        <v>44</v>
      </c>
      <c r="I7" s="27">
        <f>_xlfn.XLOOKUP(G7,'Item Usage'!$B$59:$B$65,'Item Usage'!$D$59:$D$65,"---",0,1)</f>
        <v>98.35208333333334</v>
      </c>
      <c r="J7" s="23" t="str">
        <f>_xlfn.XLOOKUP(G7,'Item Usage'!$B$70:$B$100,'Item Usage'!$D$70:$D$100,"---",0,1)</f>
        <v>---</v>
      </c>
      <c r="K7" s="42" t="s">
        <v>492</v>
      </c>
      <c r="L7" s="27">
        <v>2.6527777777777777</v>
      </c>
      <c r="M7" s="27">
        <v>0</v>
      </c>
      <c r="N7" s="4"/>
      <c r="O7" s="42" t="s">
        <v>101</v>
      </c>
      <c r="P7" s="27">
        <v>8.3333333333333339</v>
      </c>
      <c r="Q7" s="63" t="s">
        <v>493</v>
      </c>
      <c r="R7" s="42">
        <v>0</v>
      </c>
      <c r="S7" s="63"/>
      <c r="T7" s="63" t="s">
        <v>494</v>
      </c>
      <c r="U7" s="42" t="s">
        <v>505</v>
      </c>
      <c r="V7" s="63" t="s">
        <v>105</v>
      </c>
      <c r="W7" s="58">
        <v>7200010</v>
      </c>
      <c r="X7" s="42">
        <v>64643</v>
      </c>
      <c r="Y7" s="42" t="s">
        <v>326</v>
      </c>
      <c r="Z7" s="27">
        <v>7.5</v>
      </c>
    </row>
    <row r="8" spans="1:26" x14ac:dyDescent="0.25">
      <c r="A8" s="65"/>
      <c r="B8" s="66"/>
      <c r="C8" s="66"/>
      <c r="D8" s="27" cm="1">
        <f t="array" ref="D8">IF(I8="---","---",SumHH((I8,L8),(M8,P8)))</f>
        <v>61.366666666666667</v>
      </c>
      <c r="E8" s="23" t="str">
        <f t="shared" si="0"/>
        <v>---</v>
      </c>
      <c r="F8" s="25" t="str">
        <f>IF(G8="DD",('Item Usage'!$D$101+L8)-(P8+M8),"---")</f>
        <v>---</v>
      </c>
      <c r="G8" s="42" t="s">
        <v>56</v>
      </c>
      <c r="H8" s="42" t="s">
        <v>44</v>
      </c>
      <c r="I8" s="27">
        <f>_xlfn.XLOOKUP(G8,'Item Usage'!$B$59:$B$65,'Item Usage'!$D$59:$D$65,"---",0,1)</f>
        <v>98.35208333333334</v>
      </c>
      <c r="J8" s="23" t="str">
        <f>_xlfn.XLOOKUP(G8,'Item Usage'!$B$70:$B$100,'Item Usage'!$D$70:$D$100,"---",0,1)</f>
        <v>---</v>
      </c>
      <c r="K8" s="42" t="s">
        <v>492</v>
      </c>
      <c r="L8" s="27">
        <v>4.6812500000000004</v>
      </c>
      <c r="M8" s="27">
        <v>0</v>
      </c>
      <c r="N8" s="4"/>
      <c r="O8" s="42" t="s">
        <v>101</v>
      </c>
      <c r="P8" s="27">
        <v>41.666666666666664</v>
      </c>
      <c r="Q8" s="63" t="s">
        <v>507</v>
      </c>
      <c r="R8" s="42">
        <v>0</v>
      </c>
      <c r="S8" s="63"/>
      <c r="T8" s="63" t="s">
        <v>508</v>
      </c>
      <c r="U8" s="42" t="s">
        <v>509</v>
      </c>
      <c r="V8" s="63" t="s">
        <v>511</v>
      </c>
      <c r="W8" s="58">
        <v>7200013</v>
      </c>
      <c r="X8" s="42">
        <v>64643</v>
      </c>
      <c r="Y8" s="42" t="s">
        <v>328</v>
      </c>
      <c r="Z8" s="27">
        <v>40.416666666666664</v>
      </c>
    </row>
    <row r="9" spans="1:26" x14ac:dyDescent="0.25">
      <c r="A9" s="65"/>
      <c r="B9" s="66"/>
      <c r="C9" s="66"/>
      <c r="D9" s="27" cm="1">
        <f t="array" ref="D9">IF(I9="---","---",SumHH((I9,L9),(M9,P9)))</f>
        <v>92.61666666666666</v>
      </c>
      <c r="E9" s="23" t="str">
        <f t="shared" si="0"/>
        <v>---</v>
      </c>
      <c r="F9" s="25" t="str">
        <f>IF(G9="DD",('Item Usage'!$D$101+L9)-(P9+M9),"---")</f>
        <v>---</v>
      </c>
      <c r="G9" s="42" t="s">
        <v>56</v>
      </c>
      <c r="H9" s="42" t="s">
        <v>44</v>
      </c>
      <c r="I9" s="27">
        <f>_xlfn.XLOOKUP(G9,'Item Usage'!$B$59:$B$65,'Item Usage'!$D$59:$D$65,"---",0,1)</f>
        <v>98.35208333333334</v>
      </c>
      <c r="J9" s="23" t="str">
        <f>_xlfn.XLOOKUP(G9,'Item Usage'!$B$70:$B$100,'Item Usage'!$D$70:$D$100,"---",0,1)</f>
        <v>---</v>
      </c>
      <c r="K9" s="42" t="s">
        <v>492</v>
      </c>
      <c r="L9" s="27">
        <v>4.6812500000000004</v>
      </c>
      <c r="M9" s="27">
        <v>0</v>
      </c>
      <c r="N9" s="4"/>
      <c r="O9" s="42" t="s">
        <v>101</v>
      </c>
      <c r="P9" s="27">
        <v>10.416666666666666</v>
      </c>
      <c r="Q9" s="63" t="s">
        <v>515</v>
      </c>
      <c r="R9" s="42">
        <v>0</v>
      </c>
      <c r="S9" s="63"/>
      <c r="T9" s="63" t="s">
        <v>516</v>
      </c>
      <c r="U9" s="42" t="s">
        <v>509</v>
      </c>
      <c r="V9" s="63" t="s">
        <v>511</v>
      </c>
      <c r="W9" s="58" t="s">
        <v>517</v>
      </c>
      <c r="X9" s="42">
        <v>64643</v>
      </c>
      <c r="Y9" s="42" t="s">
        <v>328</v>
      </c>
      <c r="Z9" s="27">
        <v>9.375</v>
      </c>
    </row>
    <row r="10" spans="1:26" x14ac:dyDescent="0.25">
      <c r="A10" s="65"/>
      <c r="B10" s="66"/>
      <c r="C10" s="66"/>
      <c r="D10" s="27" cm="1">
        <f t="array" ref="D10">IF(I10="---","---",SumHH((I10,L10),(M10,P10)))</f>
        <v>83.621527777777786</v>
      </c>
      <c r="E10" s="23" t="str">
        <f t="shared" si="0"/>
        <v>---</v>
      </c>
      <c r="F10" s="25" t="str">
        <f>IF(G10="DD",('Item Usage'!$D$101+L10)-(P10+M10),"---")</f>
        <v>---</v>
      </c>
      <c r="G10" s="42" t="s">
        <v>28</v>
      </c>
      <c r="H10" s="42" t="s">
        <v>29</v>
      </c>
      <c r="I10" s="27">
        <f>_xlfn.XLOOKUP(G10,'Item Usage'!$B$59:$B$65,'Item Usage'!$D$59:$D$65,"---",0,1)</f>
        <v>83.773611111111123</v>
      </c>
      <c r="J10" s="23" t="str">
        <f>_xlfn.XLOOKUP(G10,'Item Usage'!$B$70:$B$100,'Item Usage'!$D$70:$D$100,"---",0,1)</f>
        <v>---</v>
      </c>
      <c r="K10" s="42" t="s">
        <v>492</v>
      </c>
      <c r="L10" s="27">
        <v>0.36875000000000002</v>
      </c>
      <c r="M10" s="27">
        <v>0</v>
      </c>
      <c r="N10" s="4"/>
      <c r="O10" s="42" t="s">
        <v>101</v>
      </c>
      <c r="P10" s="27">
        <v>0.52083333333333337</v>
      </c>
      <c r="Q10" s="63" t="s">
        <v>379</v>
      </c>
      <c r="R10" s="42">
        <v>0</v>
      </c>
      <c r="S10" s="63"/>
      <c r="T10" s="63" t="s">
        <v>380</v>
      </c>
      <c r="U10" s="42" t="s">
        <v>519</v>
      </c>
      <c r="V10" s="63" t="s">
        <v>141</v>
      </c>
      <c r="W10" s="58" t="s">
        <v>381</v>
      </c>
      <c r="X10" s="42" t="s">
        <v>115</v>
      </c>
      <c r="Y10" s="42" t="s">
        <v>328</v>
      </c>
      <c r="Z10" s="27">
        <v>0.46875</v>
      </c>
    </row>
    <row r="11" spans="1:26" x14ac:dyDescent="0.25">
      <c r="A11" s="65"/>
      <c r="B11" s="66"/>
      <c r="C11" s="66"/>
      <c r="D11" s="27" cm="1">
        <f t="array" ref="D11">IF(I11="---","---",SumHH((I11,L11),(M11,P11)))</f>
        <v>83.127777777777794</v>
      </c>
      <c r="E11" s="23" t="str">
        <f t="shared" si="0"/>
        <v>---</v>
      </c>
      <c r="F11" s="25" t="str">
        <f>IF(G11="DD",('Item Usage'!$D$101+L11)-(P11+M11),"---")</f>
        <v>---</v>
      </c>
      <c r="G11" s="42" t="s">
        <v>28</v>
      </c>
      <c r="H11" s="42" t="s">
        <v>29</v>
      </c>
      <c r="I11" s="27">
        <f>_xlfn.XLOOKUP(G11,'Item Usage'!$B$59:$B$65,'Item Usage'!$D$59:$D$65,"---",0,1)</f>
        <v>83.773611111111123</v>
      </c>
      <c r="J11" s="23" t="str">
        <f>_xlfn.XLOOKUP(G11,'Item Usage'!$B$70:$B$100,'Item Usage'!$D$70:$D$100,"---",0,1)</f>
        <v>---</v>
      </c>
      <c r="K11" s="42" t="s">
        <v>492</v>
      </c>
      <c r="L11" s="27">
        <v>0.39583333333333331</v>
      </c>
      <c r="M11" s="27">
        <v>0</v>
      </c>
      <c r="N11" s="4"/>
      <c r="O11" s="42" t="s">
        <v>101</v>
      </c>
      <c r="P11" s="27">
        <v>1.0416666666666667</v>
      </c>
      <c r="Q11" s="63" t="s">
        <v>123</v>
      </c>
      <c r="R11" s="42">
        <v>0</v>
      </c>
      <c r="S11" s="63" t="s">
        <v>124</v>
      </c>
      <c r="T11" s="63" t="s">
        <v>125</v>
      </c>
      <c r="U11" s="42" t="s">
        <v>495</v>
      </c>
      <c r="V11" s="63" t="s">
        <v>105</v>
      </c>
      <c r="W11" s="58">
        <v>7100006</v>
      </c>
      <c r="X11" s="42">
        <v>64643</v>
      </c>
      <c r="Y11" s="42" t="s">
        <v>326</v>
      </c>
      <c r="Z11" s="27">
        <v>0.83333333333333337</v>
      </c>
    </row>
    <row r="12" spans="1:26" x14ac:dyDescent="0.25">
      <c r="A12" s="65"/>
      <c r="B12" s="66"/>
      <c r="C12" s="66"/>
      <c r="D12" s="27" cm="1">
        <f t="array" ref="D12">IF(I12="---","---",SumHH((I12,L12),(M12,P12)))</f>
        <v>83.127777777777794</v>
      </c>
      <c r="E12" s="23" t="str">
        <f t="shared" si="0"/>
        <v>---</v>
      </c>
      <c r="F12" s="25" t="str">
        <f>IF(G12="DD",('Item Usage'!$D$101+L12)-(P12+M12),"---")</f>
        <v>---</v>
      </c>
      <c r="G12" s="42" t="s">
        <v>28</v>
      </c>
      <c r="H12" s="42" t="s">
        <v>29</v>
      </c>
      <c r="I12" s="27">
        <f>_xlfn.XLOOKUP(G12,'Item Usage'!$B$59:$B$65,'Item Usage'!$D$59:$D$65,"---",0,1)</f>
        <v>83.773611111111123</v>
      </c>
      <c r="J12" s="23" t="str">
        <f>_xlfn.XLOOKUP(G12,'Item Usage'!$B$70:$B$100,'Item Usage'!$D$70:$D$100,"---",0,1)</f>
        <v>---</v>
      </c>
      <c r="K12" s="42" t="s">
        <v>492</v>
      </c>
      <c r="L12" s="27">
        <v>0.39583333333333331</v>
      </c>
      <c r="M12" s="27">
        <v>0</v>
      </c>
      <c r="N12" s="4"/>
      <c r="O12" s="42" t="s">
        <v>101</v>
      </c>
      <c r="P12" s="27">
        <v>1.0416666666666667</v>
      </c>
      <c r="Q12" s="63" t="s">
        <v>123</v>
      </c>
      <c r="R12" s="42">
        <v>0</v>
      </c>
      <c r="S12" s="63" t="s">
        <v>124</v>
      </c>
      <c r="T12" s="63" t="s">
        <v>125</v>
      </c>
      <c r="U12" s="42" t="s">
        <v>505</v>
      </c>
      <c r="V12" s="63" t="s">
        <v>105</v>
      </c>
      <c r="W12" s="58">
        <v>7100006</v>
      </c>
      <c r="X12" s="42">
        <v>64643</v>
      </c>
      <c r="Y12" s="42" t="s">
        <v>326</v>
      </c>
      <c r="Z12" s="27">
        <v>0.83333333333333337</v>
      </c>
    </row>
    <row r="13" spans="1:26" x14ac:dyDescent="0.25">
      <c r="A13" s="65"/>
      <c r="B13" s="66"/>
      <c r="C13" s="66"/>
      <c r="D13" s="27" cm="1">
        <f t="array" ref="D13">IF(I13="---","---",SumHH((I13,L13),(M13,P13)))</f>
        <v>83.127777777777794</v>
      </c>
      <c r="E13" s="23" t="str">
        <f t="shared" si="0"/>
        <v>---</v>
      </c>
      <c r="F13" s="25" t="str">
        <f>IF(G13="DD",('Item Usage'!$D$101+L13)-(P13+M13),"---")</f>
        <v>---</v>
      </c>
      <c r="G13" s="42" t="s">
        <v>28</v>
      </c>
      <c r="H13" s="42" t="s">
        <v>29</v>
      </c>
      <c r="I13" s="27">
        <f>_xlfn.XLOOKUP(G13,'Item Usage'!$B$59:$B$65,'Item Usage'!$D$59:$D$65,"---",0,1)</f>
        <v>83.773611111111123</v>
      </c>
      <c r="J13" s="23" t="str">
        <f>_xlfn.XLOOKUP(G13,'Item Usage'!$B$70:$B$100,'Item Usage'!$D$70:$D$100,"---",0,1)</f>
        <v>---</v>
      </c>
      <c r="K13" s="42" t="s">
        <v>492</v>
      </c>
      <c r="L13" s="27">
        <v>0.39583333333333331</v>
      </c>
      <c r="M13" s="27">
        <v>0</v>
      </c>
      <c r="N13" s="4"/>
      <c r="O13" s="42" t="s">
        <v>101</v>
      </c>
      <c r="P13" s="27">
        <v>1.0416666666666667</v>
      </c>
      <c r="Q13" s="63" t="s">
        <v>120</v>
      </c>
      <c r="R13" s="42">
        <v>0</v>
      </c>
      <c r="S13" s="63"/>
      <c r="T13" s="63" t="s">
        <v>121</v>
      </c>
      <c r="U13" s="42" t="s">
        <v>492</v>
      </c>
      <c r="V13" s="63" t="s">
        <v>113</v>
      </c>
      <c r="W13" s="58" t="s">
        <v>122</v>
      </c>
      <c r="X13" s="42" t="s">
        <v>115</v>
      </c>
      <c r="Y13" s="42" t="s">
        <v>327</v>
      </c>
      <c r="Z13" s="27">
        <v>0.91666666666666663</v>
      </c>
    </row>
    <row r="14" spans="1:26" x14ac:dyDescent="0.25">
      <c r="A14" s="65"/>
      <c r="B14" s="66"/>
      <c r="C14" s="66"/>
      <c r="D14" s="27" cm="1">
        <f t="array" ref="D14">IF(I14="---","---",SumHH((I14,L14),(M14,P14)))</f>
        <v>83.127777777777794</v>
      </c>
      <c r="E14" s="23" t="str">
        <f t="shared" si="0"/>
        <v>---</v>
      </c>
      <c r="F14" s="25" t="str">
        <f>IF(G14="DD",('Item Usage'!$D$101+L14)-(P14+M14),"---")</f>
        <v>---</v>
      </c>
      <c r="G14" s="42" t="s">
        <v>28</v>
      </c>
      <c r="H14" s="42" t="s">
        <v>29</v>
      </c>
      <c r="I14" s="27">
        <f>_xlfn.XLOOKUP(G14,'Item Usage'!$B$59:$B$65,'Item Usage'!$D$59:$D$65,"---",0,1)</f>
        <v>83.773611111111123</v>
      </c>
      <c r="J14" s="23" t="str">
        <f>_xlfn.XLOOKUP(G14,'Item Usage'!$B$70:$B$100,'Item Usage'!$D$70:$D$100,"---",0,1)</f>
        <v>---</v>
      </c>
      <c r="K14" s="42" t="s">
        <v>492</v>
      </c>
      <c r="L14" s="27">
        <v>0.39583333333333331</v>
      </c>
      <c r="M14" s="27">
        <v>0</v>
      </c>
      <c r="N14" s="4"/>
      <c r="O14" s="42" t="s">
        <v>101</v>
      </c>
      <c r="P14" s="27">
        <v>1.0416666666666667</v>
      </c>
      <c r="Q14" s="63" t="s">
        <v>128</v>
      </c>
      <c r="R14" s="42">
        <v>0</v>
      </c>
      <c r="S14" s="63"/>
      <c r="T14" s="63" t="s">
        <v>129</v>
      </c>
      <c r="U14" s="42" t="s">
        <v>522</v>
      </c>
      <c r="V14" s="63" t="s">
        <v>386</v>
      </c>
      <c r="W14" s="58" t="s">
        <v>130</v>
      </c>
      <c r="X14" s="42" t="s">
        <v>115</v>
      </c>
      <c r="Y14" s="42" t="s">
        <v>328</v>
      </c>
      <c r="Z14" s="27">
        <v>0.9375</v>
      </c>
    </row>
    <row r="15" spans="1:26" x14ac:dyDescent="0.25">
      <c r="A15" s="65"/>
      <c r="B15" s="66"/>
      <c r="C15" s="66"/>
      <c r="D15" s="27" cm="1">
        <f t="array" ref="D15">IF(I15="---","---",SumHH((I15,L15),(M15,P15)))</f>
        <v>82.177083333333343</v>
      </c>
      <c r="E15" s="23" t="str">
        <f t="shared" si="0"/>
        <v>---</v>
      </c>
      <c r="F15" s="25" t="str">
        <f>IF(G15="DD",('Item Usage'!$D$101+L15)-(P15+M15),"---")</f>
        <v>---</v>
      </c>
      <c r="G15" s="42" t="s">
        <v>28</v>
      </c>
      <c r="H15" s="42" t="s">
        <v>29</v>
      </c>
      <c r="I15" s="27">
        <f>_xlfn.XLOOKUP(G15,'Item Usage'!$B$59:$B$65,'Item Usage'!$D$59:$D$65,"---",0,1)</f>
        <v>83.773611111111123</v>
      </c>
      <c r="J15" s="23" t="str">
        <f>_xlfn.XLOOKUP(G15,'Item Usage'!$B$70:$B$100,'Item Usage'!$D$70:$D$100,"---",0,1)</f>
        <v>---</v>
      </c>
      <c r="K15" s="42" t="s">
        <v>492</v>
      </c>
      <c r="L15" s="27">
        <v>0.48680555555555555</v>
      </c>
      <c r="M15" s="27">
        <v>0</v>
      </c>
      <c r="N15" s="4"/>
      <c r="O15" s="42" t="s">
        <v>117</v>
      </c>
      <c r="P15" s="27">
        <v>2.0833333333333335</v>
      </c>
      <c r="Q15" s="63" t="s">
        <v>119</v>
      </c>
      <c r="R15" s="42">
        <v>1</v>
      </c>
      <c r="S15" s="63" t="s">
        <v>524</v>
      </c>
      <c r="T15" s="63" t="s">
        <v>385</v>
      </c>
      <c r="U15" s="42" t="s">
        <v>492</v>
      </c>
      <c r="V15" s="63" t="s">
        <v>113</v>
      </c>
      <c r="W15" s="58" t="s">
        <v>119</v>
      </c>
      <c r="X15" s="42" t="s">
        <v>115</v>
      </c>
      <c r="Y15" s="42" t="s">
        <v>327</v>
      </c>
      <c r="Z15" s="27">
        <v>1.875</v>
      </c>
    </row>
    <row r="16" spans="1:26" x14ac:dyDescent="0.25">
      <c r="A16" s="65"/>
      <c r="B16" s="66"/>
      <c r="C16" s="66"/>
      <c r="D16" s="27" cm="1">
        <f t="array" ref="D16">IF(I16="---","---",SumHH((I16,L16),(M16,P16)))</f>
        <v>82.177083333333343</v>
      </c>
      <c r="E16" s="23" t="str">
        <f t="shared" si="0"/>
        <v>---</v>
      </c>
      <c r="F16" s="25" t="str">
        <f>IF(G16="DD",('Item Usage'!$D$101+L16)-(P16+M16),"---")</f>
        <v>---</v>
      </c>
      <c r="G16" s="42" t="s">
        <v>28</v>
      </c>
      <c r="H16" s="42" t="s">
        <v>29</v>
      </c>
      <c r="I16" s="27">
        <f>_xlfn.XLOOKUP(G16,'Item Usage'!$B$59:$B$65,'Item Usage'!$D$59:$D$65,"---",0,1)</f>
        <v>83.773611111111123</v>
      </c>
      <c r="J16" s="23" t="str">
        <f>_xlfn.XLOOKUP(G16,'Item Usage'!$B$70:$B$100,'Item Usage'!$D$70:$D$100,"---",0,1)</f>
        <v>---</v>
      </c>
      <c r="K16" s="42" t="s">
        <v>492</v>
      </c>
      <c r="L16" s="27">
        <v>0.48680555555555555</v>
      </c>
      <c r="M16" s="27">
        <v>0</v>
      </c>
      <c r="N16" s="4"/>
      <c r="O16" s="42" t="s">
        <v>117</v>
      </c>
      <c r="P16" s="27">
        <v>2.0833333333333335</v>
      </c>
      <c r="Q16" s="63" t="s">
        <v>119</v>
      </c>
      <c r="R16" s="42">
        <v>3</v>
      </c>
      <c r="S16" s="63" t="s">
        <v>527</v>
      </c>
      <c r="T16" s="63" t="s">
        <v>385</v>
      </c>
      <c r="U16" s="42" t="s">
        <v>492</v>
      </c>
      <c r="V16" s="63" t="s">
        <v>113</v>
      </c>
      <c r="W16" s="58" t="s">
        <v>119</v>
      </c>
      <c r="X16" s="42" t="s">
        <v>115</v>
      </c>
      <c r="Y16" s="42" t="s">
        <v>327</v>
      </c>
      <c r="Z16" s="27">
        <v>1.875</v>
      </c>
    </row>
    <row r="17" spans="1:26" x14ac:dyDescent="0.25">
      <c r="A17" s="65"/>
      <c r="B17" s="66"/>
      <c r="C17" s="66"/>
      <c r="D17" s="27" cm="1">
        <f t="array" ref="D17">IF(I17="---","---",SumHH((I17,L17),(M17,P17)))</f>
        <v>83.278472222222234</v>
      </c>
      <c r="E17" s="23" t="str">
        <f t="shared" si="0"/>
        <v>---</v>
      </c>
      <c r="F17" s="25" t="str">
        <f>IF(G17="DD",('Item Usage'!$D$101+L17)-(P17+M17),"---")</f>
        <v>---</v>
      </c>
      <c r="G17" s="42" t="s">
        <v>28</v>
      </c>
      <c r="H17" s="42" t="s">
        <v>29</v>
      </c>
      <c r="I17" s="27">
        <f>_xlfn.XLOOKUP(G17,'Item Usage'!$B$59:$B$65,'Item Usage'!$D$59:$D$65,"---",0,1)</f>
        <v>83.773611111111123</v>
      </c>
      <c r="J17" s="23" t="str">
        <f>_xlfn.XLOOKUP(G17,'Item Usage'!$B$70:$B$100,'Item Usage'!$D$70:$D$100,"---",0,1)</f>
        <v>---</v>
      </c>
      <c r="K17" s="42" t="s">
        <v>492</v>
      </c>
      <c r="L17" s="27">
        <v>0.54652777777777772</v>
      </c>
      <c r="M17" s="27">
        <v>0</v>
      </c>
      <c r="N17" s="4"/>
      <c r="O17" s="42" t="s">
        <v>101</v>
      </c>
      <c r="P17" s="27">
        <v>1.0416666666666667</v>
      </c>
      <c r="Q17" s="63" t="s">
        <v>132</v>
      </c>
      <c r="R17" s="42">
        <v>0</v>
      </c>
      <c r="S17" s="63" t="s">
        <v>124</v>
      </c>
      <c r="T17" s="63" t="s">
        <v>133</v>
      </c>
      <c r="U17" s="42" t="s">
        <v>495</v>
      </c>
      <c r="V17" s="63" t="s">
        <v>105</v>
      </c>
      <c r="W17" s="58">
        <v>7100009</v>
      </c>
      <c r="X17" s="42">
        <v>64643</v>
      </c>
      <c r="Y17" s="42" t="s">
        <v>326</v>
      </c>
      <c r="Z17" s="27">
        <v>0.83333333333333337</v>
      </c>
    </row>
    <row r="18" spans="1:26" x14ac:dyDescent="0.25">
      <c r="A18" s="65"/>
      <c r="B18" s="66"/>
      <c r="C18" s="66"/>
      <c r="D18" s="27" cm="1">
        <f t="array" ref="D18">IF(I18="---","---",SumHH((I18,L18),(M18,P18)))</f>
        <v>83.278472222222234</v>
      </c>
      <c r="E18" s="23" t="str">
        <f t="shared" si="0"/>
        <v>---</v>
      </c>
      <c r="F18" s="25" t="str">
        <f>IF(G18="DD",('Item Usage'!$D$101+L18)-(P18+M18),"---")</f>
        <v>---</v>
      </c>
      <c r="G18" s="42" t="s">
        <v>28</v>
      </c>
      <c r="H18" s="42" t="s">
        <v>29</v>
      </c>
      <c r="I18" s="27">
        <f>_xlfn.XLOOKUP(G18,'Item Usage'!$B$59:$B$65,'Item Usage'!$D$59:$D$65,"---",0,1)</f>
        <v>83.773611111111123</v>
      </c>
      <c r="J18" s="23" t="str">
        <f>_xlfn.XLOOKUP(G18,'Item Usage'!$B$70:$B$100,'Item Usage'!$D$70:$D$100,"---",0,1)</f>
        <v>---</v>
      </c>
      <c r="K18" s="42" t="s">
        <v>492</v>
      </c>
      <c r="L18" s="27">
        <v>0.54652777777777772</v>
      </c>
      <c r="M18" s="27">
        <v>0</v>
      </c>
      <c r="N18" s="4"/>
      <c r="O18" s="42" t="s">
        <v>101</v>
      </c>
      <c r="P18" s="27">
        <v>1.0416666666666667</v>
      </c>
      <c r="Q18" s="63" t="s">
        <v>132</v>
      </c>
      <c r="R18" s="42">
        <v>0</v>
      </c>
      <c r="S18" s="63" t="s">
        <v>124</v>
      </c>
      <c r="T18" s="63" t="s">
        <v>133</v>
      </c>
      <c r="U18" s="42" t="s">
        <v>505</v>
      </c>
      <c r="V18" s="63" t="s">
        <v>105</v>
      </c>
      <c r="W18" s="58">
        <v>7100009</v>
      </c>
      <c r="X18" s="42">
        <v>64643</v>
      </c>
      <c r="Y18" s="42" t="s">
        <v>326</v>
      </c>
      <c r="Z18" s="27">
        <v>0.83333333333333337</v>
      </c>
    </row>
    <row r="19" spans="1:26" x14ac:dyDescent="0.25">
      <c r="A19" s="65"/>
      <c r="B19" s="66"/>
      <c r="C19" s="66"/>
      <c r="D19" s="27" cm="1">
        <f t="array" ref="D19">IF(I19="---","---",SumHH((I19,L19),(M19,P19)))</f>
        <v>83.621527777777786</v>
      </c>
      <c r="E19" s="23" t="str">
        <f t="shared" si="0"/>
        <v>---</v>
      </c>
      <c r="F19" s="25" t="str">
        <f>IF(G19="DD",('Item Usage'!$D$101+L19)-(P19+M19),"---")</f>
        <v>---</v>
      </c>
      <c r="G19" s="42" t="s">
        <v>28</v>
      </c>
      <c r="H19" s="42" t="s">
        <v>29</v>
      </c>
      <c r="I19" s="27">
        <f>_xlfn.XLOOKUP(G19,'Item Usage'!$B$59:$B$65,'Item Usage'!$D$59:$D$65,"---",0,1)</f>
        <v>83.773611111111123</v>
      </c>
      <c r="J19" s="23" t="str">
        <f>_xlfn.XLOOKUP(G19,'Item Usage'!$B$70:$B$100,'Item Usage'!$D$70:$D$100,"---",0,1)</f>
        <v>---</v>
      </c>
      <c r="K19" s="42" t="s">
        <v>492</v>
      </c>
      <c r="L19" s="27">
        <v>0.67708333333333337</v>
      </c>
      <c r="M19" s="27">
        <v>0</v>
      </c>
      <c r="N19" s="4"/>
      <c r="O19" s="42" t="s">
        <v>529</v>
      </c>
      <c r="P19" s="27">
        <v>0.82916666666666672</v>
      </c>
      <c r="Q19" s="63" t="s">
        <v>529</v>
      </c>
      <c r="R19" s="42">
        <v>0</v>
      </c>
      <c r="S19" s="63" t="s">
        <v>531</v>
      </c>
      <c r="T19" s="63" t="s">
        <v>530</v>
      </c>
      <c r="U19" s="42" t="s">
        <v>492</v>
      </c>
      <c r="V19" s="63" t="s">
        <v>113</v>
      </c>
      <c r="W19" s="58" t="s">
        <v>529</v>
      </c>
      <c r="X19" s="42" t="s">
        <v>115</v>
      </c>
      <c r="Y19" s="42" t="s">
        <v>327</v>
      </c>
      <c r="Z19" s="27">
        <v>0.62083333333333335</v>
      </c>
    </row>
    <row r="20" spans="1:26" x14ac:dyDescent="0.25">
      <c r="A20" s="65"/>
      <c r="B20" s="66"/>
      <c r="C20" s="66"/>
      <c r="D20" s="27" cm="1">
        <f t="array" ref="D20">IF(I20="---","---",SumHH((I20,L20),(M20,P20)))</f>
        <v>-207.21597222222223</v>
      </c>
      <c r="E20" s="23" t="str">
        <f t="shared" si="0"/>
        <v>---</v>
      </c>
      <c r="F20" s="25" t="str">
        <f>IF(G20="DD",('Item Usage'!$D$101+L20)-(P20+M20),"---")</f>
        <v>---</v>
      </c>
      <c r="G20" s="42" t="s">
        <v>28</v>
      </c>
      <c r="H20" s="42" t="s">
        <v>29</v>
      </c>
      <c r="I20" s="27">
        <f>_xlfn.XLOOKUP(G20,'Item Usage'!$B$59:$B$65,'Item Usage'!$D$59:$D$65,"---",0,1)</f>
        <v>83.773611111111123</v>
      </c>
      <c r="J20" s="23" t="str">
        <f>_xlfn.XLOOKUP(G20,'Item Usage'!$B$70:$B$100,'Item Usage'!$D$70:$D$100,"---",0,1)</f>
        <v>---</v>
      </c>
      <c r="K20" s="42" t="s">
        <v>492</v>
      </c>
      <c r="L20" s="27">
        <v>0.67708333333333337</v>
      </c>
      <c r="M20" s="27">
        <v>0</v>
      </c>
      <c r="N20" s="4"/>
      <c r="O20" s="42" t="s">
        <v>411</v>
      </c>
      <c r="P20" s="27">
        <v>291.66666666666669</v>
      </c>
      <c r="Q20" s="63" t="s">
        <v>407</v>
      </c>
      <c r="R20" s="42">
        <v>0</v>
      </c>
      <c r="S20" s="63"/>
      <c r="T20" s="63" t="s">
        <v>408</v>
      </c>
      <c r="U20" s="42" t="s">
        <v>535</v>
      </c>
      <c r="V20" s="63" t="s">
        <v>410</v>
      </c>
      <c r="W20" s="58" t="s">
        <v>409</v>
      </c>
      <c r="X20" s="42" t="s">
        <v>115</v>
      </c>
      <c r="Y20" s="42" t="s">
        <v>328</v>
      </c>
      <c r="Z20" s="27">
        <v>289.58333333333331</v>
      </c>
    </row>
    <row r="21" spans="1:26" x14ac:dyDescent="0.25">
      <c r="A21" s="65"/>
      <c r="B21" s="66"/>
      <c r="C21" s="66"/>
      <c r="D21" s="27" cm="1">
        <f t="array" ref="D21">IF(I21="---","---",SumHH((I21,L21),(M21,P21)))</f>
        <v>83.680555555555571</v>
      </c>
      <c r="E21" s="23" t="str">
        <f t="shared" si="0"/>
        <v>---</v>
      </c>
      <c r="F21" s="25" t="str">
        <f>IF(G21="DD",('Item Usage'!$D$101+L21)-(P21+M21),"---")</f>
        <v>---</v>
      </c>
      <c r="G21" s="42" t="s">
        <v>28</v>
      </c>
      <c r="H21" s="42" t="s">
        <v>29</v>
      </c>
      <c r="I21" s="27">
        <f>_xlfn.XLOOKUP(G21,'Item Usage'!$B$59:$B$65,'Item Usage'!$D$59:$D$65,"---",0,1)</f>
        <v>83.773611111111123</v>
      </c>
      <c r="J21" s="23" t="str">
        <f>_xlfn.XLOOKUP(G21,'Item Usage'!$B$70:$B$100,'Item Usage'!$D$70:$D$100,"---",0,1)</f>
        <v>---</v>
      </c>
      <c r="K21" s="42" t="s">
        <v>492</v>
      </c>
      <c r="L21" s="27">
        <v>0.94861111111111107</v>
      </c>
      <c r="M21" s="27">
        <v>0</v>
      </c>
      <c r="N21" s="4"/>
      <c r="O21" s="42" t="s">
        <v>101</v>
      </c>
      <c r="P21" s="27">
        <v>1.0416666666666667</v>
      </c>
      <c r="Q21" s="63" t="s">
        <v>111</v>
      </c>
      <c r="R21" s="42">
        <v>0</v>
      </c>
      <c r="S21" s="63"/>
      <c r="T21" s="63" t="s">
        <v>112</v>
      </c>
      <c r="U21" s="42" t="s">
        <v>492</v>
      </c>
      <c r="V21" s="63" t="s">
        <v>113</v>
      </c>
      <c r="W21" s="58" t="s">
        <v>114</v>
      </c>
      <c r="X21" s="42" t="s">
        <v>115</v>
      </c>
      <c r="Y21" s="42" t="s">
        <v>327</v>
      </c>
      <c r="Z21" s="27">
        <v>0.91666666666666663</v>
      </c>
    </row>
    <row r="22" spans="1:26" x14ac:dyDescent="0.25">
      <c r="A22" s="65"/>
      <c r="B22" s="66"/>
      <c r="C22" s="66"/>
      <c r="D22" s="27" cm="1">
        <f t="array" ref="D22">IF(I22="---","---",SumHH((I22,L22),(M22,P22)))</f>
        <v>80.569444444444457</v>
      </c>
      <c r="E22" s="23" t="str">
        <f t="shared" si="0"/>
        <v>---</v>
      </c>
      <c r="F22" s="25" t="str">
        <f>IF(G22="DD",('Item Usage'!$D$101+L22)-(P22+M22),"---")</f>
        <v>---</v>
      </c>
      <c r="G22" s="42" t="s">
        <v>28</v>
      </c>
      <c r="H22" s="42" t="s">
        <v>29</v>
      </c>
      <c r="I22" s="27">
        <f>_xlfn.XLOOKUP(G22,'Item Usage'!$B$59:$B$65,'Item Usage'!$D$59:$D$65,"---",0,1)</f>
        <v>83.773611111111123</v>
      </c>
      <c r="J22" s="23" t="str">
        <f>_xlfn.XLOOKUP(G22,'Item Usage'!$B$70:$B$100,'Item Usage'!$D$70:$D$100,"---",0,1)</f>
        <v>---</v>
      </c>
      <c r="K22" s="42" t="s">
        <v>492</v>
      </c>
      <c r="L22" s="27">
        <v>0.96250000000000002</v>
      </c>
      <c r="M22" s="27">
        <v>0</v>
      </c>
      <c r="N22" s="4"/>
      <c r="O22" s="42" t="s">
        <v>101</v>
      </c>
      <c r="P22" s="27">
        <v>4.166666666666667</v>
      </c>
      <c r="Q22" s="63" t="s">
        <v>182</v>
      </c>
      <c r="R22" s="42">
        <v>0</v>
      </c>
      <c r="S22" s="63"/>
      <c r="T22" s="63" t="s">
        <v>183</v>
      </c>
      <c r="U22" s="42" t="s">
        <v>492</v>
      </c>
      <c r="V22" s="63" t="s">
        <v>113</v>
      </c>
      <c r="W22" s="58">
        <v>5328003</v>
      </c>
      <c r="X22" s="42" t="s">
        <v>115</v>
      </c>
      <c r="Y22" s="42" t="s">
        <v>327</v>
      </c>
      <c r="Z22" s="27">
        <v>3.75</v>
      </c>
    </row>
    <row r="23" spans="1:26" x14ac:dyDescent="0.25">
      <c r="A23" s="65"/>
      <c r="B23" s="66"/>
      <c r="C23" s="66"/>
      <c r="D23" s="27" cm="1">
        <f t="array" ref="D23">IF(I23="---","---",SumHH((I23,L23),(M23,P23)))</f>
        <v>80.569444444444457</v>
      </c>
      <c r="E23" s="23" t="str">
        <f t="shared" si="0"/>
        <v>---</v>
      </c>
      <c r="F23" s="25" t="str">
        <f>IF(G23="DD",('Item Usage'!$D$101+L23)-(P23+M23),"---")</f>
        <v>---</v>
      </c>
      <c r="G23" s="42" t="s">
        <v>28</v>
      </c>
      <c r="H23" s="42" t="s">
        <v>29</v>
      </c>
      <c r="I23" s="27">
        <f>_xlfn.XLOOKUP(G23,'Item Usage'!$B$59:$B$65,'Item Usage'!$D$59:$D$65,"---",0,1)</f>
        <v>83.773611111111123</v>
      </c>
      <c r="J23" s="23" t="str">
        <f>_xlfn.XLOOKUP(G23,'Item Usage'!$B$70:$B$100,'Item Usage'!$D$70:$D$100,"---",0,1)</f>
        <v>---</v>
      </c>
      <c r="K23" s="42" t="s">
        <v>492</v>
      </c>
      <c r="L23" s="27">
        <v>0.96250000000000002</v>
      </c>
      <c r="M23" s="27">
        <v>0</v>
      </c>
      <c r="N23" s="4"/>
      <c r="O23" s="42" t="s">
        <v>101</v>
      </c>
      <c r="P23" s="27">
        <v>4.166666666666667</v>
      </c>
      <c r="Q23" s="63" t="s">
        <v>191</v>
      </c>
      <c r="R23" s="42">
        <v>0</v>
      </c>
      <c r="S23" s="63"/>
      <c r="T23" s="63" t="s">
        <v>192</v>
      </c>
      <c r="U23" s="42" t="s">
        <v>538</v>
      </c>
      <c r="V23" s="63" t="s">
        <v>193</v>
      </c>
      <c r="W23" s="58" t="s">
        <v>194</v>
      </c>
      <c r="X23" s="42" t="s">
        <v>195</v>
      </c>
      <c r="Y23" s="42" t="s">
        <v>328</v>
      </c>
      <c r="Z23" s="27">
        <v>3.75</v>
      </c>
    </row>
    <row r="24" spans="1:26" x14ac:dyDescent="0.25">
      <c r="A24" s="65"/>
      <c r="B24" s="66"/>
      <c r="C24" s="66"/>
      <c r="D24" s="27" cm="1">
        <f t="array" ref="D24">IF(I24="---","---",SumHH((I24,L24),(M24,P24)))</f>
        <v>83.127777777777794</v>
      </c>
      <c r="E24" s="23" t="str">
        <f t="shared" si="0"/>
        <v>---</v>
      </c>
      <c r="F24" s="25" t="str">
        <f>IF(G24="DD",('Item Usage'!$D$101+L24)-(P24+M24),"---")</f>
        <v>---</v>
      </c>
      <c r="G24" s="42" t="s">
        <v>28</v>
      </c>
      <c r="H24" s="42" t="s">
        <v>29</v>
      </c>
      <c r="I24" s="27">
        <f>_xlfn.XLOOKUP(G24,'Item Usage'!$B$59:$B$65,'Item Usage'!$D$59:$D$65,"---",0,1)</f>
        <v>83.773611111111123</v>
      </c>
      <c r="J24" s="23" t="str">
        <f>_xlfn.XLOOKUP(G24,'Item Usage'!$B$70:$B$100,'Item Usage'!$D$70:$D$100,"---",0,1)</f>
        <v>---</v>
      </c>
      <c r="K24" s="42" t="s">
        <v>492</v>
      </c>
      <c r="L24" s="27">
        <v>1.4375</v>
      </c>
      <c r="M24" s="27">
        <v>0</v>
      </c>
      <c r="N24" s="4"/>
      <c r="O24" s="42" t="s">
        <v>101</v>
      </c>
      <c r="P24" s="27">
        <v>2.0833333333333335</v>
      </c>
      <c r="Q24" s="63" t="s">
        <v>135</v>
      </c>
      <c r="R24" s="42">
        <v>0</v>
      </c>
      <c r="S24" s="63"/>
      <c r="T24" s="63" t="s">
        <v>136</v>
      </c>
      <c r="U24" s="42" t="s">
        <v>492</v>
      </c>
      <c r="V24" s="63" t="s">
        <v>113</v>
      </c>
      <c r="W24" s="58">
        <v>2433004</v>
      </c>
      <c r="X24" s="42" t="s">
        <v>115</v>
      </c>
      <c r="Y24" s="42" t="s">
        <v>327</v>
      </c>
      <c r="Z24" s="27">
        <v>1.875</v>
      </c>
    </row>
    <row r="25" spans="1:26" x14ac:dyDescent="0.25">
      <c r="A25" s="65"/>
      <c r="B25" s="66"/>
      <c r="C25" s="66"/>
      <c r="D25" s="27" cm="1">
        <f t="array" ref="D25">IF(I25="---","---",SumHH((I25,L25),(M25,P25)))</f>
        <v>83.127777777777794</v>
      </c>
      <c r="E25" s="23" t="str">
        <f t="shared" si="0"/>
        <v>---</v>
      </c>
      <c r="F25" s="25" t="str">
        <f>IF(G25="DD",('Item Usage'!$D$101+L25)-(P25+M25),"---")</f>
        <v>---</v>
      </c>
      <c r="G25" s="42" t="s">
        <v>28</v>
      </c>
      <c r="H25" s="42" t="s">
        <v>29</v>
      </c>
      <c r="I25" s="27">
        <f>_xlfn.XLOOKUP(G25,'Item Usage'!$B$59:$B$65,'Item Usage'!$D$59:$D$65,"---",0,1)</f>
        <v>83.773611111111123</v>
      </c>
      <c r="J25" s="23" t="str">
        <f>_xlfn.XLOOKUP(G25,'Item Usage'!$B$70:$B$100,'Item Usage'!$D$70:$D$100,"---",0,1)</f>
        <v>---</v>
      </c>
      <c r="K25" s="42" t="s">
        <v>492</v>
      </c>
      <c r="L25" s="27">
        <v>1.4375</v>
      </c>
      <c r="M25" s="27">
        <v>0</v>
      </c>
      <c r="N25" s="4"/>
      <c r="O25" s="42" t="s">
        <v>101</v>
      </c>
      <c r="P25" s="27">
        <v>2.0833333333333335</v>
      </c>
      <c r="Q25" s="63" t="s">
        <v>153</v>
      </c>
      <c r="R25" s="42">
        <v>0</v>
      </c>
      <c r="S25" s="63"/>
      <c r="T25" s="63" t="s">
        <v>154</v>
      </c>
      <c r="U25" s="42" t="s">
        <v>540</v>
      </c>
      <c r="V25" s="63" t="s">
        <v>155</v>
      </c>
      <c r="W25" s="58">
        <v>6522003</v>
      </c>
      <c r="X25" s="42" t="s">
        <v>115</v>
      </c>
      <c r="Y25" s="42" t="s">
        <v>328</v>
      </c>
      <c r="Z25" s="27">
        <v>1.875</v>
      </c>
    </row>
    <row r="26" spans="1:26" x14ac:dyDescent="0.25">
      <c r="A26" s="65"/>
      <c r="B26" s="66"/>
      <c r="C26" s="66"/>
      <c r="D26" s="27" cm="1">
        <f t="array" ref="D26">IF(I26="---","---",SumHH((I26,L26),(M26,P26)))</f>
        <v>83.127777777777794</v>
      </c>
      <c r="E26" s="23" t="str">
        <f t="shared" si="0"/>
        <v>---</v>
      </c>
      <c r="F26" s="25" t="str">
        <f>IF(G26="DD",('Item Usage'!$D$101+L26)-(P26+M26),"---")</f>
        <v>---</v>
      </c>
      <c r="G26" s="42" t="s">
        <v>28</v>
      </c>
      <c r="H26" s="42" t="s">
        <v>29</v>
      </c>
      <c r="I26" s="27">
        <f>_xlfn.XLOOKUP(G26,'Item Usage'!$B$59:$B$65,'Item Usage'!$D$59:$D$65,"---",0,1)</f>
        <v>83.773611111111123</v>
      </c>
      <c r="J26" s="23" t="str">
        <f>_xlfn.XLOOKUP(G26,'Item Usage'!$B$70:$B$100,'Item Usage'!$D$70:$D$100,"---",0,1)</f>
        <v>---</v>
      </c>
      <c r="K26" s="42" t="s">
        <v>492</v>
      </c>
      <c r="L26" s="27">
        <v>1.4375</v>
      </c>
      <c r="M26" s="27">
        <v>0</v>
      </c>
      <c r="N26" s="4"/>
      <c r="O26" s="42" t="s">
        <v>101</v>
      </c>
      <c r="P26" s="27">
        <v>2.0833333333333335</v>
      </c>
      <c r="Q26" s="63" t="s">
        <v>157</v>
      </c>
      <c r="R26" s="42">
        <v>0</v>
      </c>
      <c r="S26" s="63"/>
      <c r="T26" s="63" t="s">
        <v>158</v>
      </c>
      <c r="U26" s="42" t="s">
        <v>540</v>
      </c>
      <c r="V26" s="63" t="s">
        <v>155</v>
      </c>
      <c r="W26" s="58">
        <v>6522004</v>
      </c>
      <c r="X26" s="42" t="s">
        <v>115</v>
      </c>
      <c r="Y26" s="42" t="s">
        <v>328</v>
      </c>
      <c r="Z26" s="27">
        <v>1.875</v>
      </c>
    </row>
    <row r="27" spans="1:26" x14ac:dyDescent="0.25">
      <c r="A27" s="65"/>
      <c r="B27" s="66"/>
      <c r="C27" s="66"/>
      <c r="D27" s="27" cm="1">
        <f t="array" ref="D27">IF(I27="---","---",SumHH((I27,L27),(M27,P27)))</f>
        <v>83.127777777777794</v>
      </c>
      <c r="E27" s="23" t="str">
        <f t="shared" si="0"/>
        <v>---</v>
      </c>
      <c r="F27" s="25" t="str">
        <f>IF(G27="DD",('Item Usage'!$D$101+L27)-(P27+M27),"---")</f>
        <v>---</v>
      </c>
      <c r="G27" s="42" t="s">
        <v>28</v>
      </c>
      <c r="H27" s="42" t="s">
        <v>29</v>
      </c>
      <c r="I27" s="27">
        <f>_xlfn.XLOOKUP(G27,'Item Usage'!$B$59:$B$65,'Item Usage'!$D$59:$D$65,"---",0,1)</f>
        <v>83.773611111111123</v>
      </c>
      <c r="J27" s="23" t="str">
        <f>_xlfn.XLOOKUP(G27,'Item Usage'!$B$70:$B$100,'Item Usage'!$D$70:$D$100,"---",0,1)</f>
        <v>---</v>
      </c>
      <c r="K27" s="42" t="s">
        <v>492</v>
      </c>
      <c r="L27" s="27">
        <v>1.4375</v>
      </c>
      <c r="M27" s="27">
        <v>0</v>
      </c>
      <c r="N27" s="4"/>
      <c r="O27" s="42" t="s">
        <v>101</v>
      </c>
      <c r="P27" s="27">
        <v>2.0833333333333335</v>
      </c>
      <c r="Q27" s="63" t="s">
        <v>146</v>
      </c>
      <c r="R27" s="42">
        <v>0</v>
      </c>
      <c r="S27" s="63"/>
      <c r="T27" s="63" t="s">
        <v>147</v>
      </c>
      <c r="U27" s="42" t="s">
        <v>541</v>
      </c>
      <c r="V27" s="63" t="s">
        <v>148</v>
      </c>
      <c r="W27" s="58">
        <v>6521003</v>
      </c>
      <c r="X27" s="42" t="s">
        <v>115</v>
      </c>
      <c r="Y27" s="42" t="s">
        <v>328</v>
      </c>
      <c r="Z27" s="27">
        <v>1.875</v>
      </c>
    </row>
    <row r="28" spans="1:26" x14ac:dyDescent="0.25">
      <c r="A28" s="65"/>
      <c r="B28" s="66"/>
      <c r="C28" s="66"/>
      <c r="D28" s="27" cm="1">
        <f t="array" ref="D28">IF(I28="---","---",SumHH((I28,L28),(M28,P28)))</f>
        <v>83.127777777777794</v>
      </c>
      <c r="E28" s="23" t="str">
        <f t="shared" si="0"/>
        <v>---</v>
      </c>
      <c r="F28" s="25" t="str">
        <f>IF(G28="DD",('Item Usage'!$D$101+L28)-(P28+M28),"---")</f>
        <v>---</v>
      </c>
      <c r="G28" s="42" t="s">
        <v>28</v>
      </c>
      <c r="H28" s="42" t="s">
        <v>29</v>
      </c>
      <c r="I28" s="27">
        <f>_xlfn.XLOOKUP(G28,'Item Usage'!$B$59:$B$65,'Item Usage'!$D$59:$D$65,"---",0,1)</f>
        <v>83.773611111111123</v>
      </c>
      <c r="J28" s="23" t="str">
        <f>_xlfn.XLOOKUP(G28,'Item Usage'!$B$70:$B$100,'Item Usage'!$D$70:$D$100,"---",0,1)</f>
        <v>---</v>
      </c>
      <c r="K28" s="42" t="s">
        <v>492</v>
      </c>
      <c r="L28" s="27">
        <v>1.4375</v>
      </c>
      <c r="M28" s="27">
        <v>0</v>
      </c>
      <c r="N28" s="4"/>
      <c r="O28" s="42" t="s">
        <v>101</v>
      </c>
      <c r="P28" s="27">
        <v>2.0833333333333335</v>
      </c>
      <c r="Q28" s="63" t="s">
        <v>150</v>
      </c>
      <c r="R28" s="42">
        <v>0</v>
      </c>
      <c r="S28" s="63"/>
      <c r="T28" s="63" t="s">
        <v>151</v>
      </c>
      <c r="U28" s="42" t="s">
        <v>541</v>
      </c>
      <c r="V28" s="63" t="s">
        <v>148</v>
      </c>
      <c r="W28" s="58">
        <v>6521004</v>
      </c>
      <c r="X28" s="42" t="s">
        <v>115</v>
      </c>
      <c r="Y28" s="42" t="s">
        <v>328</v>
      </c>
      <c r="Z28" s="27">
        <v>1.875</v>
      </c>
    </row>
    <row r="29" spans="1:26" x14ac:dyDescent="0.25">
      <c r="A29" s="65"/>
      <c r="B29" s="66"/>
      <c r="C29" s="66"/>
      <c r="D29" s="27" cm="1">
        <f t="array" ref="D29">IF(I29="---","---",SumHH((I29,L29),(M29,P29)))</f>
        <v>83.127777777777794</v>
      </c>
      <c r="E29" s="23" t="str">
        <f t="shared" si="0"/>
        <v>---</v>
      </c>
      <c r="F29" s="25" t="str">
        <f>IF(G29="DD",('Item Usage'!$D$101+L29)-(P29+M29),"---")</f>
        <v>---</v>
      </c>
      <c r="G29" s="42" t="s">
        <v>28</v>
      </c>
      <c r="H29" s="42" t="s">
        <v>29</v>
      </c>
      <c r="I29" s="27">
        <f>_xlfn.XLOOKUP(G29,'Item Usage'!$B$59:$B$65,'Item Usage'!$D$59:$D$65,"---",0,1)</f>
        <v>83.773611111111123</v>
      </c>
      <c r="J29" s="23" t="str">
        <f>_xlfn.XLOOKUP(G29,'Item Usage'!$B$70:$B$100,'Item Usage'!$D$70:$D$100,"---",0,1)</f>
        <v>---</v>
      </c>
      <c r="K29" s="42" t="s">
        <v>492</v>
      </c>
      <c r="L29" s="27">
        <v>1.4375</v>
      </c>
      <c r="M29" s="27">
        <v>0</v>
      </c>
      <c r="N29" s="4"/>
      <c r="O29" s="42" t="s">
        <v>101</v>
      </c>
      <c r="P29" s="27">
        <v>2.0833333333333335</v>
      </c>
      <c r="Q29" s="63" t="s">
        <v>139</v>
      </c>
      <c r="R29" s="42">
        <v>0</v>
      </c>
      <c r="S29" s="63"/>
      <c r="T29" s="63" t="s">
        <v>140</v>
      </c>
      <c r="U29" s="42" t="s">
        <v>519</v>
      </c>
      <c r="V29" s="63" t="s">
        <v>141</v>
      </c>
      <c r="W29" s="58">
        <v>6320007</v>
      </c>
      <c r="X29" s="42" t="s">
        <v>115</v>
      </c>
      <c r="Y29" s="42" t="s">
        <v>328</v>
      </c>
      <c r="Z29" s="27">
        <v>1.875</v>
      </c>
    </row>
    <row r="30" spans="1:26" x14ac:dyDescent="0.25">
      <c r="A30" s="65"/>
      <c r="B30" s="66"/>
      <c r="C30" s="66"/>
      <c r="D30" s="27" cm="1">
        <f t="array" ref="D30">IF(I30="---","---",SumHH((I30,L30),(M30,P30)))</f>
        <v>83.127777777777794</v>
      </c>
      <c r="E30" s="23" t="str">
        <f t="shared" si="0"/>
        <v>---</v>
      </c>
      <c r="F30" s="25" t="str">
        <f>IF(G30="DD",('Item Usage'!$D$101+L30)-(P30+M30),"---")</f>
        <v>---</v>
      </c>
      <c r="G30" s="42" t="s">
        <v>28</v>
      </c>
      <c r="H30" s="42" t="s">
        <v>29</v>
      </c>
      <c r="I30" s="27">
        <f>_xlfn.XLOOKUP(G30,'Item Usage'!$B$59:$B$65,'Item Usage'!$D$59:$D$65,"---",0,1)</f>
        <v>83.773611111111123</v>
      </c>
      <c r="J30" s="23" t="str">
        <f>_xlfn.XLOOKUP(G30,'Item Usage'!$B$70:$B$100,'Item Usage'!$D$70:$D$100,"---",0,1)</f>
        <v>---</v>
      </c>
      <c r="K30" s="42" t="s">
        <v>492</v>
      </c>
      <c r="L30" s="27">
        <v>1.4375</v>
      </c>
      <c r="M30" s="27">
        <v>0</v>
      </c>
      <c r="N30" s="4"/>
      <c r="O30" s="42" t="s">
        <v>101</v>
      </c>
      <c r="P30" s="27">
        <v>2.0833333333333335</v>
      </c>
      <c r="Q30" s="63" t="s">
        <v>143</v>
      </c>
      <c r="R30" s="42">
        <v>0</v>
      </c>
      <c r="S30" s="63"/>
      <c r="T30" s="63" t="s">
        <v>144</v>
      </c>
      <c r="U30" s="42" t="s">
        <v>519</v>
      </c>
      <c r="V30" s="63" t="s">
        <v>141</v>
      </c>
      <c r="W30" s="58">
        <v>6320008</v>
      </c>
      <c r="X30" s="42" t="s">
        <v>115</v>
      </c>
      <c r="Y30" s="42" t="s">
        <v>328</v>
      </c>
      <c r="Z30" s="27">
        <v>1.875</v>
      </c>
    </row>
    <row r="31" spans="1:26" x14ac:dyDescent="0.25">
      <c r="A31" s="65"/>
      <c r="B31" s="66"/>
      <c r="C31" s="66"/>
      <c r="D31" s="27" cm="1">
        <f t="array" ref="D31">IF(I31="---","---",SumHH((I31,L31),(M31,P31)))</f>
        <v>81.33194444444446</v>
      </c>
      <c r="E31" s="23" t="str">
        <f t="shared" si="0"/>
        <v>---</v>
      </c>
      <c r="F31" s="25" t="str">
        <f>IF(G31="DD",('Item Usage'!$D$101+L31)-(P31+M31),"---")</f>
        <v>---</v>
      </c>
      <c r="G31" s="42" t="s">
        <v>28</v>
      </c>
      <c r="H31" s="42" t="s">
        <v>29</v>
      </c>
      <c r="I31" s="27">
        <f>_xlfn.XLOOKUP(G31,'Item Usage'!$B$59:$B$65,'Item Usage'!$D$59:$D$65,"---",0,1)</f>
        <v>83.773611111111123</v>
      </c>
      <c r="J31" s="23" t="str">
        <f>_xlfn.XLOOKUP(G31,'Item Usage'!$B$70:$B$100,'Item Usage'!$D$70:$D$100,"---",0,1)</f>
        <v>---</v>
      </c>
      <c r="K31" s="42" t="s">
        <v>492</v>
      </c>
      <c r="L31" s="27">
        <v>1.7250000000000001</v>
      </c>
      <c r="M31" s="27">
        <v>0</v>
      </c>
      <c r="N31" s="4"/>
      <c r="O31" s="42" t="s">
        <v>167</v>
      </c>
      <c r="P31" s="27">
        <v>4.166666666666667</v>
      </c>
      <c r="Q31" s="63" t="s">
        <v>168</v>
      </c>
      <c r="R31" s="42">
        <v>0</v>
      </c>
      <c r="S31" s="63"/>
      <c r="T31" s="63" t="s">
        <v>169</v>
      </c>
      <c r="U31" s="42" t="s">
        <v>492</v>
      </c>
      <c r="V31" s="63" t="s">
        <v>113</v>
      </c>
      <c r="W31" s="58" t="s">
        <v>170</v>
      </c>
      <c r="X31" s="42" t="s">
        <v>115</v>
      </c>
      <c r="Y31" s="42" t="s">
        <v>327</v>
      </c>
      <c r="Z31" s="27">
        <v>3.75</v>
      </c>
    </row>
    <row r="32" spans="1:26" x14ac:dyDescent="0.25">
      <c r="A32" s="65"/>
      <c r="B32" s="66"/>
      <c r="C32" s="66"/>
      <c r="D32" s="27" cm="1">
        <f t="array" ref="D32">IF(I32="---","---",SumHH((I32,L32),(M32,P32)))</f>
        <v>81.33194444444446</v>
      </c>
      <c r="E32" s="23" t="str">
        <f t="shared" si="0"/>
        <v>---</v>
      </c>
      <c r="F32" s="25" t="str">
        <f>IF(G32="DD",('Item Usage'!$D$101+L32)-(P32+M32),"---")</f>
        <v>---</v>
      </c>
      <c r="G32" s="42" t="s">
        <v>28</v>
      </c>
      <c r="H32" s="42" t="s">
        <v>29</v>
      </c>
      <c r="I32" s="27">
        <f>_xlfn.XLOOKUP(G32,'Item Usage'!$B$59:$B$65,'Item Usage'!$D$59:$D$65,"---",0,1)</f>
        <v>83.773611111111123</v>
      </c>
      <c r="J32" s="23" t="str">
        <f>_xlfn.XLOOKUP(G32,'Item Usage'!$B$70:$B$100,'Item Usage'!$D$70:$D$100,"---",0,1)</f>
        <v>---</v>
      </c>
      <c r="K32" s="42" t="s">
        <v>492</v>
      </c>
      <c r="L32" s="27">
        <v>1.7250000000000001</v>
      </c>
      <c r="M32" s="27">
        <v>0</v>
      </c>
      <c r="N32" s="4"/>
      <c r="O32" s="42" t="s">
        <v>101</v>
      </c>
      <c r="P32" s="27">
        <v>4.166666666666667</v>
      </c>
      <c r="Q32" s="63" t="s">
        <v>176</v>
      </c>
      <c r="R32" s="42">
        <v>0</v>
      </c>
      <c r="S32" s="63"/>
      <c r="T32" s="63" t="s">
        <v>177</v>
      </c>
      <c r="U32" s="42" t="s">
        <v>492</v>
      </c>
      <c r="V32" s="63" t="s">
        <v>113</v>
      </c>
      <c r="W32" s="58">
        <v>2910010</v>
      </c>
      <c r="X32" s="42" t="s">
        <v>115</v>
      </c>
      <c r="Y32" s="42" t="s">
        <v>327</v>
      </c>
      <c r="Z32" s="27">
        <v>3.75</v>
      </c>
    </row>
    <row r="33" spans="1:26" x14ac:dyDescent="0.25">
      <c r="A33" s="65"/>
      <c r="B33" s="66"/>
      <c r="C33" s="66"/>
      <c r="D33" s="27" cm="1">
        <f t="array" ref="D33">IF(I33="---","---",SumHH((I33,L33),(M33,P33)))</f>
        <v>81.33194444444446</v>
      </c>
      <c r="E33" s="23" t="str">
        <f t="shared" si="0"/>
        <v>---</v>
      </c>
      <c r="F33" s="25" t="str">
        <f>IF(G33="DD",('Item Usage'!$D$101+L33)-(P33+M33),"---")</f>
        <v>---</v>
      </c>
      <c r="G33" s="42" t="s">
        <v>28</v>
      </c>
      <c r="H33" s="42" t="s">
        <v>29</v>
      </c>
      <c r="I33" s="27">
        <f>_xlfn.XLOOKUP(G33,'Item Usage'!$B$59:$B$65,'Item Usage'!$D$59:$D$65,"---",0,1)</f>
        <v>83.773611111111123</v>
      </c>
      <c r="J33" s="23" t="str">
        <f>_xlfn.XLOOKUP(G33,'Item Usage'!$B$70:$B$100,'Item Usage'!$D$70:$D$100,"---",0,1)</f>
        <v>---</v>
      </c>
      <c r="K33" s="42" t="s">
        <v>492</v>
      </c>
      <c r="L33" s="27">
        <v>1.7250000000000001</v>
      </c>
      <c r="M33" s="27">
        <v>0</v>
      </c>
      <c r="N33" s="4"/>
      <c r="O33" s="42" t="s">
        <v>101</v>
      </c>
      <c r="P33" s="27">
        <v>4.166666666666667</v>
      </c>
      <c r="Q33" s="63" t="s">
        <v>179</v>
      </c>
      <c r="R33" s="42">
        <v>0</v>
      </c>
      <c r="S33" s="63"/>
      <c r="T33" s="63" t="s">
        <v>180</v>
      </c>
      <c r="U33" s="42" t="s">
        <v>492</v>
      </c>
      <c r="V33" s="63" t="s">
        <v>113</v>
      </c>
      <c r="W33" s="58">
        <v>4300003</v>
      </c>
      <c r="X33" s="42" t="s">
        <v>115</v>
      </c>
      <c r="Y33" s="42" t="s">
        <v>327</v>
      </c>
      <c r="Z33" s="27">
        <v>3.75</v>
      </c>
    </row>
    <row r="34" spans="1:26" x14ac:dyDescent="0.25">
      <c r="A34" s="65"/>
      <c r="B34" s="66"/>
      <c r="C34" s="66"/>
      <c r="D34" s="27" cm="1">
        <f t="array" ref="D34">IF(I34="---","---",SumHH((I34,L34),(M34,P34)))</f>
        <v>81.33194444444446</v>
      </c>
      <c r="E34" s="23" t="str">
        <f t="shared" si="0"/>
        <v>---</v>
      </c>
      <c r="F34" s="25" t="str">
        <f>IF(G34="DD",('Item Usage'!$D$101+L34)-(P34+M34),"---")</f>
        <v>---</v>
      </c>
      <c r="G34" s="42" t="s">
        <v>28</v>
      </c>
      <c r="H34" s="42" t="s">
        <v>29</v>
      </c>
      <c r="I34" s="27">
        <f>_xlfn.XLOOKUP(G34,'Item Usage'!$B$59:$B$65,'Item Usage'!$D$59:$D$65,"---",0,1)</f>
        <v>83.773611111111123</v>
      </c>
      <c r="J34" s="23" t="str">
        <f>_xlfn.XLOOKUP(G34,'Item Usage'!$B$70:$B$100,'Item Usage'!$D$70:$D$100,"---",0,1)</f>
        <v>---</v>
      </c>
      <c r="K34" s="42" t="s">
        <v>492</v>
      </c>
      <c r="L34" s="27">
        <v>1.7250000000000001</v>
      </c>
      <c r="M34" s="27">
        <v>0</v>
      </c>
      <c r="N34" s="4"/>
      <c r="O34" s="42" t="s">
        <v>101</v>
      </c>
      <c r="P34" s="27">
        <v>4.166666666666667</v>
      </c>
      <c r="Q34" s="63" t="s">
        <v>185</v>
      </c>
      <c r="R34" s="42">
        <v>0</v>
      </c>
      <c r="S34" s="63"/>
      <c r="T34" s="63" t="s">
        <v>186</v>
      </c>
      <c r="U34" s="42" t="s">
        <v>492</v>
      </c>
      <c r="V34" s="63" t="s">
        <v>113</v>
      </c>
      <c r="W34" s="58">
        <v>5334004</v>
      </c>
      <c r="X34" s="42" t="s">
        <v>115</v>
      </c>
      <c r="Y34" s="42" t="s">
        <v>327</v>
      </c>
      <c r="Z34" s="27">
        <v>3.75</v>
      </c>
    </row>
    <row r="35" spans="1:26" x14ac:dyDescent="0.25">
      <c r="A35" s="65"/>
      <c r="B35" s="66"/>
      <c r="C35" s="66"/>
      <c r="D35" s="27" cm="1">
        <f t="array" ref="D35">IF(I35="---","---",SumHH((I35,L35),(M35,P35)))</f>
        <v>81.33194444444446</v>
      </c>
      <c r="E35" s="23" t="str">
        <f t="shared" si="0"/>
        <v>---</v>
      </c>
      <c r="F35" s="25" t="str">
        <f>IF(G35="DD",('Item Usage'!$D$101+L35)-(P35+M35),"---")</f>
        <v>---</v>
      </c>
      <c r="G35" s="42" t="s">
        <v>28</v>
      </c>
      <c r="H35" s="42" t="s">
        <v>29</v>
      </c>
      <c r="I35" s="27">
        <f>_xlfn.XLOOKUP(G35,'Item Usage'!$B$59:$B$65,'Item Usage'!$D$59:$D$65,"---",0,1)</f>
        <v>83.773611111111123</v>
      </c>
      <c r="J35" s="23" t="str">
        <f>_xlfn.XLOOKUP(G35,'Item Usage'!$B$70:$B$100,'Item Usage'!$D$70:$D$100,"---",0,1)</f>
        <v>---</v>
      </c>
      <c r="K35" s="42" t="s">
        <v>492</v>
      </c>
      <c r="L35" s="27">
        <v>1.7250000000000001</v>
      </c>
      <c r="M35" s="27">
        <v>0</v>
      </c>
      <c r="N35" s="4"/>
      <c r="O35" s="42" t="s">
        <v>101</v>
      </c>
      <c r="P35" s="27">
        <v>4.166666666666667</v>
      </c>
      <c r="Q35" s="63" t="s">
        <v>188</v>
      </c>
      <c r="R35" s="42">
        <v>0</v>
      </c>
      <c r="S35" s="63"/>
      <c r="T35" s="63" t="s">
        <v>189</v>
      </c>
      <c r="U35" s="42" t="s">
        <v>492</v>
      </c>
      <c r="V35" s="63" t="s">
        <v>113</v>
      </c>
      <c r="W35" s="58">
        <v>5340008</v>
      </c>
      <c r="X35" s="42" t="s">
        <v>115</v>
      </c>
      <c r="Y35" s="42" t="s">
        <v>327</v>
      </c>
      <c r="Z35" s="27">
        <v>3.75</v>
      </c>
    </row>
    <row r="36" spans="1:26" x14ac:dyDescent="0.25">
      <c r="A36" s="65"/>
      <c r="B36" s="66"/>
      <c r="C36" s="66"/>
      <c r="D36" s="27" cm="1">
        <f t="array" ref="D36">IF(I36="---","---",SumHH((I36,L36),(M36,P36)))</f>
        <v>81.33194444444446</v>
      </c>
      <c r="E36" s="23" t="str">
        <f t="shared" ref="E36:E67" si="1">IF(J36&lt;&gt;"---",($J36+$L36)-($P36+$M36),"---")</f>
        <v>---</v>
      </c>
      <c r="F36" s="25" t="str">
        <f>IF(G36="DD",('Item Usage'!$D$101+L36)-(P36+M36),"---")</f>
        <v>---</v>
      </c>
      <c r="G36" s="42" t="s">
        <v>28</v>
      </c>
      <c r="H36" s="42" t="s">
        <v>29</v>
      </c>
      <c r="I36" s="27">
        <f>_xlfn.XLOOKUP(G36,'Item Usage'!$B$59:$B$65,'Item Usage'!$D$59:$D$65,"---",0,1)</f>
        <v>83.773611111111123</v>
      </c>
      <c r="J36" s="23" t="str">
        <f>_xlfn.XLOOKUP(G36,'Item Usage'!$B$70:$B$100,'Item Usage'!$D$70:$D$100,"---",0,1)</f>
        <v>---</v>
      </c>
      <c r="K36" s="42" t="s">
        <v>492</v>
      </c>
      <c r="L36" s="27">
        <v>1.7250000000000001</v>
      </c>
      <c r="M36" s="27">
        <v>0</v>
      </c>
      <c r="N36" s="4"/>
      <c r="O36" s="42" t="s">
        <v>101</v>
      </c>
      <c r="P36" s="27">
        <v>4.166666666666667</v>
      </c>
      <c r="Q36" s="63" t="s">
        <v>394</v>
      </c>
      <c r="R36" s="42">
        <v>0</v>
      </c>
      <c r="S36" s="63"/>
      <c r="T36" s="63" t="s">
        <v>395</v>
      </c>
      <c r="U36" s="42" t="s">
        <v>538</v>
      </c>
      <c r="V36" s="63" t="s">
        <v>193</v>
      </c>
      <c r="W36" s="58" t="s">
        <v>396</v>
      </c>
      <c r="X36" s="42" t="s">
        <v>195</v>
      </c>
      <c r="Y36" s="42" t="s">
        <v>328</v>
      </c>
      <c r="Z36" s="27">
        <v>3.75</v>
      </c>
    </row>
    <row r="37" spans="1:26" x14ac:dyDescent="0.25">
      <c r="A37" s="65"/>
      <c r="B37" s="66"/>
      <c r="C37" s="66"/>
      <c r="D37" s="27" cm="1">
        <f t="array" ref="D37">IF(I37="---","---",SumHH((I37,L37),(M37,P37)))</f>
        <v>81.33194444444446</v>
      </c>
      <c r="E37" s="23" t="str">
        <f t="shared" si="1"/>
        <v>---</v>
      </c>
      <c r="F37" s="25" t="str">
        <f>IF(G37="DD",('Item Usage'!$D$101+L37)-(P37+M37),"---")</f>
        <v>---</v>
      </c>
      <c r="G37" s="42" t="s">
        <v>28</v>
      </c>
      <c r="H37" s="42" t="s">
        <v>29</v>
      </c>
      <c r="I37" s="27">
        <f>_xlfn.XLOOKUP(G37,'Item Usage'!$B$59:$B$65,'Item Usage'!$D$59:$D$65,"---",0,1)</f>
        <v>83.773611111111123</v>
      </c>
      <c r="J37" s="23" t="str">
        <f>_xlfn.XLOOKUP(G37,'Item Usage'!$B$70:$B$100,'Item Usage'!$D$70:$D$100,"---",0,1)</f>
        <v>---</v>
      </c>
      <c r="K37" s="42" t="s">
        <v>492</v>
      </c>
      <c r="L37" s="27">
        <v>1.7250000000000001</v>
      </c>
      <c r="M37" s="27">
        <v>0</v>
      </c>
      <c r="N37" s="4"/>
      <c r="O37" s="42" t="s">
        <v>101</v>
      </c>
      <c r="P37" s="27">
        <v>4.166666666666667</v>
      </c>
      <c r="Q37" s="63" t="s">
        <v>203</v>
      </c>
      <c r="R37" s="42">
        <v>0</v>
      </c>
      <c r="S37" s="63"/>
      <c r="T37" s="63" t="s">
        <v>204</v>
      </c>
      <c r="U37" s="42" t="s">
        <v>543</v>
      </c>
      <c r="V37" s="63" t="s">
        <v>205</v>
      </c>
      <c r="W37" s="58">
        <v>6220007</v>
      </c>
      <c r="X37" s="42" t="s">
        <v>115</v>
      </c>
      <c r="Y37" s="42" t="s">
        <v>328</v>
      </c>
      <c r="Z37" s="27">
        <v>3.75</v>
      </c>
    </row>
    <row r="38" spans="1:26" x14ac:dyDescent="0.25">
      <c r="A38" s="65"/>
      <c r="B38" s="66"/>
      <c r="C38" s="66"/>
      <c r="D38" s="27" cm="1">
        <f t="array" ref="D38">IF(I38="---","---",SumHH((I38,L38),(M38,P38)))</f>
        <v>81.33194444444446</v>
      </c>
      <c r="E38" s="23" t="str">
        <f t="shared" si="1"/>
        <v>---</v>
      </c>
      <c r="F38" s="25" t="str">
        <f>IF(G38="DD",('Item Usage'!$D$101+L38)-(P38+M38),"---")</f>
        <v>---</v>
      </c>
      <c r="G38" s="42" t="s">
        <v>28</v>
      </c>
      <c r="H38" s="42" t="s">
        <v>29</v>
      </c>
      <c r="I38" s="27">
        <f>_xlfn.XLOOKUP(G38,'Item Usage'!$B$59:$B$65,'Item Usage'!$D$59:$D$65,"---",0,1)</f>
        <v>83.773611111111123</v>
      </c>
      <c r="J38" s="23" t="str">
        <f>_xlfn.XLOOKUP(G38,'Item Usage'!$B$70:$B$100,'Item Usage'!$D$70:$D$100,"---",0,1)</f>
        <v>---</v>
      </c>
      <c r="K38" s="42" t="s">
        <v>492</v>
      </c>
      <c r="L38" s="27">
        <v>1.7250000000000001</v>
      </c>
      <c r="M38" s="27">
        <v>0</v>
      </c>
      <c r="N38" s="4"/>
      <c r="O38" s="42" t="s">
        <v>101</v>
      </c>
      <c r="P38" s="27">
        <v>4.166666666666667</v>
      </c>
      <c r="Q38" s="63" t="s">
        <v>200</v>
      </c>
      <c r="R38" s="42">
        <v>0</v>
      </c>
      <c r="S38" s="63"/>
      <c r="T38" s="63" t="s">
        <v>201</v>
      </c>
      <c r="U38" s="42" t="s">
        <v>544</v>
      </c>
      <c r="V38" s="63" t="s">
        <v>545</v>
      </c>
      <c r="W38" s="58">
        <v>6410002</v>
      </c>
      <c r="X38" s="42" t="s">
        <v>115</v>
      </c>
      <c r="Y38" s="42" t="s">
        <v>328</v>
      </c>
      <c r="Z38" s="27">
        <v>3.75</v>
      </c>
    </row>
    <row r="39" spans="1:26" x14ac:dyDescent="0.25">
      <c r="A39" s="65"/>
      <c r="B39" s="66"/>
      <c r="C39" s="66"/>
      <c r="D39" s="27" cm="1">
        <f t="array" ref="D39">IF(I39="---","---",SumHH((I39,L39),(M39,P39)))</f>
        <v>81.33194444444446</v>
      </c>
      <c r="E39" s="23" t="str">
        <f t="shared" si="1"/>
        <v>---</v>
      </c>
      <c r="F39" s="25" t="str">
        <f>IF(G39="DD",('Item Usage'!$D$101+L39)-(P39+M39),"---")</f>
        <v>---</v>
      </c>
      <c r="G39" s="42" t="s">
        <v>28</v>
      </c>
      <c r="H39" s="42" t="s">
        <v>29</v>
      </c>
      <c r="I39" s="27">
        <f>_xlfn.XLOOKUP(G39,'Item Usage'!$B$59:$B$65,'Item Usage'!$D$59:$D$65,"---",0,1)</f>
        <v>83.773611111111123</v>
      </c>
      <c r="J39" s="23" t="str">
        <f>_xlfn.XLOOKUP(G39,'Item Usage'!$B$70:$B$100,'Item Usage'!$D$70:$D$100,"---",0,1)</f>
        <v>---</v>
      </c>
      <c r="K39" s="42" t="s">
        <v>492</v>
      </c>
      <c r="L39" s="27">
        <v>1.7250000000000001</v>
      </c>
      <c r="M39" s="27">
        <v>0</v>
      </c>
      <c r="N39" s="4"/>
      <c r="O39" s="42" t="s">
        <v>101</v>
      </c>
      <c r="P39" s="27">
        <v>4.166666666666667</v>
      </c>
      <c r="Q39" s="63" t="s">
        <v>200</v>
      </c>
      <c r="R39" s="42">
        <v>0</v>
      </c>
      <c r="S39" s="63"/>
      <c r="T39" s="63" t="s">
        <v>201</v>
      </c>
      <c r="U39" s="42" t="s">
        <v>546</v>
      </c>
      <c r="V39" s="63" t="s">
        <v>545</v>
      </c>
      <c r="W39" s="58">
        <v>6410002</v>
      </c>
      <c r="X39" s="42" t="s">
        <v>115</v>
      </c>
      <c r="Y39" s="42" t="s">
        <v>328</v>
      </c>
      <c r="Z39" s="27">
        <v>3.75</v>
      </c>
    </row>
    <row r="40" spans="1:26" x14ac:dyDescent="0.25">
      <c r="A40" s="65"/>
      <c r="B40" s="66"/>
      <c r="C40" s="66"/>
      <c r="D40" s="27" cm="1">
        <f t="array" ref="D40">IF(I40="---","---",SumHH((I40,L40),(M40,P40)))</f>
        <v>81.33194444444446</v>
      </c>
      <c r="E40" s="23" t="str">
        <f t="shared" si="1"/>
        <v>---</v>
      </c>
      <c r="F40" s="25" t="str">
        <f>IF(G40="DD",('Item Usage'!$D$101+L40)-(P40+M40),"---")</f>
        <v>---</v>
      </c>
      <c r="G40" s="42" t="s">
        <v>28</v>
      </c>
      <c r="H40" s="42" t="s">
        <v>29</v>
      </c>
      <c r="I40" s="27">
        <f>_xlfn.XLOOKUP(G40,'Item Usage'!$B$59:$B$65,'Item Usage'!$D$59:$D$65,"---",0,1)</f>
        <v>83.773611111111123</v>
      </c>
      <c r="J40" s="23" t="str">
        <f>_xlfn.XLOOKUP(G40,'Item Usage'!$B$70:$B$100,'Item Usage'!$D$70:$D$100,"---",0,1)</f>
        <v>---</v>
      </c>
      <c r="K40" s="42" t="s">
        <v>492</v>
      </c>
      <c r="L40" s="27">
        <v>1.7250000000000001</v>
      </c>
      <c r="M40" s="27">
        <v>0</v>
      </c>
      <c r="N40" s="4"/>
      <c r="O40" s="42" t="s">
        <v>101</v>
      </c>
      <c r="P40" s="27">
        <v>4.166666666666667</v>
      </c>
      <c r="Q40" s="63" t="s">
        <v>200</v>
      </c>
      <c r="R40" s="42">
        <v>0</v>
      </c>
      <c r="S40" s="63"/>
      <c r="T40" s="63" t="s">
        <v>201</v>
      </c>
      <c r="U40" s="42" t="s">
        <v>547</v>
      </c>
      <c r="V40" s="63" t="s">
        <v>545</v>
      </c>
      <c r="W40" s="58">
        <v>6410002</v>
      </c>
      <c r="X40" s="42" t="s">
        <v>115</v>
      </c>
      <c r="Y40" s="42" t="s">
        <v>328</v>
      </c>
      <c r="Z40" s="27">
        <v>3.75</v>
      </c>
    </row>
    <row r="41" spans="1:26" x14ac:dyDescent="0.25">
      <c r="A41" s="65"/>
      <c r="B41" s="66"/>
      <c r="C41" s="66"/>
      <c r="D41" s="27" cm="1">
        <f t="array" ref="D41">IF(I41="---","---",SumHH((I41,L41),(M41,P41)))</f>
        <v>81.33194444444446</v>
      </c>
      <c r="E41" s="23" t="str">
        <f t="shared" si="1"/>
        <v>---</v>
      </c>
      <c r="F41" s="25" t="str">
        <f>IF(G41="DD",('Item Usage'!$D$101+L41)-(P41+M41),"---")</f>
        <v>---</v>
      </c>
      <c r="G41" s="42" t="s">
        <v>28</v>
      </c>
      <c r="H41" s="42" t="s">
        <v>29</v>
      </c>
      <c r="I41" s="27">
        <f>_xlfn.XLOOKUP(G41,'Item Usage'!$B$59:$B$65,'Item Usage'!$D$59:$D$65,"---",0,1)</f>
        <v>83.773611111111123</v>
      </c>
      <c r="J41" s="23" t="str">
        <f>_xlfn.XLOOKUP(G41,'Item Usage'!$B$70:$B$100,'Item Usage'!$D$70:$D$100,"---",0,1)</f>
        <v>---</v>
      </c>
      <c r="K41" s="42" t="s">
        <v>492</v>
      </c>
      <c r="L41" s="27">
        <v>1.7250000000000001</v>
      </c>
      <c r="M41" s="27">
        <v>0</v>
      </c>
      <c r="N41" s="4"/>
      <c r="O41" s="42" t="s">
        <v>101</v>
      </c>
      <c r="P41" s="27">
        <v>4.166666666666667</v>
      </c>
      <c r="Q41" s="63" t="s">
        <v>200</v>
      </c>
      <c r="R41" s="42">
        <v>0</v>
      </c>
      <c r="S41" s="63"/>
      <c r="T41" s="63" t="s">
        <v>201</v>
      </c>
      <c r="U41" s="42" t="s">
        <v>548</v>
      </c>
      <c r="V41" s="63" t="s">
        <v>545</v>
      </c>
      <c r="W41" s="58">
        <v>6410002</v>
      </c>
      <c r="X41" s="42" t="s">
        <v>115</v>
      </c>
      <c r="Y41" s="42" t="s">
        <v>328</v>
      </c>
      <c r="Z41" s="27">
        <v>3.75</v>
      </c>
    </row>
    <row r="42" spans="1:26" x14ac:dyDescent="0.25">
      <c r="A42" s="65"/>
      <c r="B42" s="66"/>
      <c r="C42" s="66"/>
      <c r="D42" s="27" cm="1">
        <f t="array" ref="D42">IF(I42="---","---",SumHH((I42,L42),(M42,P42)))</f>
        <v>81.491666666666674</v>
      </c>
      <c r="E42" s="23" t="str">
        <f t="shared" si="1"/>
        <v>---</v>
      </c>
      <c r="F42" s="25" t="str">
        <f>IF(G42="DD",('Item Usage'!$D$101+L42)-(P42+M42),"---")</f>
        <v>---</v>
      </c>
      <c r="G42" s="42" t="s">
        <v>28</v>
      </c>
      <c r="H42" s="42" t="s">
        <v>29</v>
      </c>
      <c r="I42" s="27">
        <f>_xlfn.XLOOKUP(G42,'Item Usage'!$B$59:$B$65,'Item Usage'!$D$59:$D$65,"---",0,1)</f>
        <v>83.773611111111123</v>
      </c>
      <c r="J42" s="23" t="str">
        <f>_xlfn.XLOOKUP(G42,'Item Usage'!$B$70:$B$100,'Item Usage'!$D$70:$D$100,"---",0,1)</f>
        <v>---</v>
      </c>
      <c r="K42" s="42" t="s">
        <v>492</v>
      </c>
      <c r="L42" s="27">
        <v>1.8847222222222222</v>
      </c>
      <c r="M42" s="27">
        <v>0</v>
      </c>
      <c r="N42" s="4"/>
      <c r="O42" s="42" t="s">
        <v>101</v>
      </c>
      <c r="P42" s="27">
        <v>4.166666666666667</v>
      </c>
      <c r="Q42" s="63" t="s">
        <v>196</v>
      </c>
      <c r="R42" s="42">
        <v>0</v>
      </c>
      <c r="S42" s="63"/>
      <c r="T42" s="63" t="s">
        <v>197</v>
      </c>
      <c r="U42" s="42" t="s">
        <v>549</v>
      </c>
      <c r="V42" s="63" t="s">
        <v>198</v>
      </c>
      <c r="W42" s="58" t="s">
        <v>199</v>
      </c>
      <c r="X42" s="42" t="s">
        <v>115</v>
      </c>
      <c r="Y42" s="42" t="s">
        <v>328</v>
      </c>
      <c r="Z42" s="27">
        <v>3.75</v>
      </c>
    </row>
    <row r="43" spans="1:26" x14ac:dyDescent="0.25">
      <c r="A43" s="65"/>
      <c r="B43" s="66"/>
      <c r="C43" s="66"/>
      <c r="D43" s="27" cm="1">
        <f t="array" ref="D43">IF(I43="---","---",SumHH((I43,L43),(M43,P43)))</f>
        <v>81.491666666666674</v>
      </c>
      <c r="E43" s="23" t="str">
        <f t="shared" si="1"/>
        <v>---</v>
      </c>
      <c r="F43" s="25" t="str">
        <f>IF(G43="DD",('Item Usage'!$D$101+L43)-(P43+M43),"---")</f>
        <v>---</v>
      </c>
      <c r="G43" s="42" t="s">
        <v>28</v>
      </c>
      <c r="H43" s="42" t="s">
        <v>29</v>
      </c>
      <c r="I43" s="27">
        <f>_xlfn.XLOOKUP(G43,'Item Usage'!$B$59:$B$65,'Item Usage'!$D$59:$D$65,"---",0,1)</f>
        <v>83.773611111111123</v>
      </c>
      <c r="J43" s="23" t="str">
        <f>_xlfn.XLOOKUP(G43,'Item Usage'!$B$70:$B$100,'Item Usage'!$D$70:$D$100,"---",0,1)</f>
        <v>---</v>
      </c>
      <c r="K43" s="42" t="s">
        <v>492</v>
      </c>
      <c r="L43" s="27">
        <v>1.8847222222222222</v>
      </c>
      <c r="M43" s="27">
        <v>0</v>
      </c>
      <c r="N43" s="4"/>
      <c r="O43" s="42" t="s">
        <v>101</v>
      </c>
      <c r="P43" s="27">
        <v>4.166666666666667</v>
      </c>
      <c r="Q43" s="63" t="s">
        <v>196</v>
      </c>
      <c r="R43" s="42">
        <v>0</v>
      </c>
      <c r="S43" s="63"/>
      <c r="T43" s="63" t="s">
        <v>197</v>
      </c>
      <c r="U43" s="42" t="s">
        <v>551</v>
      </c>
      <c r="V43" s="63" t="s">
        <v>198</v>
      </c>
      <c r="W43" s="58" t="s">
        <v>199</v>
      </c>
      <c r="X43" s="42" t="s">
        <v>115</v>
      </c>
      <c r="Y43" s="42" t="s">
        <v>328</v>
      </c>
      <c r="Z43" s="27">
        <v>3.75</v>
      </c>
    </row>
    <row r="44" spans="1:26" x14ac:dyDescent="0.25">
      <c r="A44" s="65"/>
      <c r="B44" s="66"/>
      <c r="C44" s="66"/>
      <c r="D44" s="27" cm="1">
        <f t="array" ref="D44">IF(I44="---","---",SumHH((I44,L44),(M44,P44)))</f>
        <v>81.491666666666674</v>
      </c>
      <c r="E44" s="23" t="str">
        <f t="shared" si="1"/>
        <v>---</v>
      </c>
      <c r="F44" s="25" t="str">
        <f>IF(G44="DD",('Item Usage'!$D$101+L44)-(P44+M44),"---")</f>
        <v>---</v>
      </c>
      <c r="G44" s="42" t="s">
        <v>28</v>
      </c>
      <c r="H44" s="42" t="s">
        <v>29</v>
      </c>
      <c r="I44" s="27">
        <f>_xlfn.XLOOKUP(G44,'Item Usage'!$B$59:$B$65,'Item Usage'!$D$59:$D$65,"---",0,1)</f>
        <v>83.773611111111123</v>
      </c>
      <c r="J44" s="23" t="str">
        <f>_xlfn.XLOOKUP(G44,'Item Usage'!$B$70:$B$100,'Item Usage'!$D$70:$D$100,"---",0,1)</f>
        <v>---</v>
      </c>
      <c r="K44" s="42" t="s">
        <v>492</v>
      </c>
      <c r="L44" s="27">
        <v>1.8847222222222222</v>
      </c>
      <c r="M44" s="27">
        <v>0</v>
      </c>
      <c r="N44" s="4"/>
      <c r="O44" s="42" t="s">
        <v>101</v>
      </c>
      <c r="P44" s="27">
        <v>4.166666666666667</v>
      </c>
      <c r="Q44" s="63" t="s">
        <v>196</v>
      </c>
      <c r="R44" s="42">
        <v>0</v>
      </c>
      <c r="S44" s="63"/>
      <c r="T44" s="63" t="s">
        <v>197</v>
      </c>
      <c r="U44" s="42" t="s">
        <v>552</v>
      </c>
      <c r="V44" s="63" t="s">
        <v>198</v>
      </c>
      <c r="W44" s="58" t="s">
        <v>199</v>
      </c>
      <c r="X44" s="42" t="s">
        <v>115</v>
      </c>
      <c r="Y44" s="42" t="s">
        <v>328</v>
      </c>
      <c r="Z44" s="27">
        <v>3.75</v>
      </c>
    </row>
    <row r="45" spans="1:26" x14ac:dyDescent="0.25">
      <c r="A45" s="65"/>
      <c r="B45" s="66"/>
      <c r="C45" s="66"/>
      <c r="D45" s="27" cm="1">
        <f t="array" ref="D45">IF(I45="---","---",SumHH((I45,L45),(M45,P45)))</f>
        <v>81.491666666666674</v>
      </c>
      <c r="E45" s="23" t="str">
        <f t="shared" si="1"/>
        <v>---</v>
      </c>
      <c r="F45" s="25" t="str">
        <f>IF(G45="DD",('Item Usage'!$D$101+L45)-(P45+M45),"---")</f>
        <v>---</v>
      </c>
      <c r="G45" s="42" t="s">
        <v>28</v>
      </c>
      <c r="H45" s="42" t="s">
        <v>29</v>
      </c>
      <c r="I45" s="27">
        <f>_xlfn.XLOOKUP(G45,'Item Usage'!$B$59:$B$65,'Item Usage'!$D$59:$D$65,"---",0,1)</f>
        <v>83.773611111111123</v>
      </c>
      <c r="J45" s="23" t="str">
        <f>_xlfn.XLOOKUP(G45,'Item Usage'!$B$70:$B$100,'Item Usage'!$D$70:$D$100,"---",0,1)</f>
        <v>---</v>
      </c>
      <c r="K45" s="42" t="s">
        <v>492</v>
      </c>
      <c r="L45" s="27">
        <v>1.8847222222222222</v>
      </c>
      <c r="M45" s="27">
        <v>0</v>
      </c>
      <c r="N45" s="4"/>
      <c r="O45" s="42" t="s">
        <v>101</v>
      </c>
      <c r="P45" s="27">
        <v>4.166666666666667</v>
      </c>
      <c r="Q45" s="63" t="s">
        <v>196</v>
      </c>
      <c r="R45" s="42">
        <v>0</v>
      </c>
      <c r="S45" s="63"/>
      <c r="T45" s="63" t="s">
        <v>197</v>
      </c>
      <c r="U45" s="42" t="s">
        <v>553</v>
      </c>
      <c r="V45" s="63" t="s">
        <v>198</v>
      </c>
      <c r="W45" s="58" t="s">
        <v>199</v>
      </c>
      <c r="X45" s="42" t="s">
        <v>115</v>
      </c>
      <c r="Y45" s="42" t="s">
        <v>328</v>
      </c>
      <c r="Z45" s="27">
        <v>3.75</v>
      </c>
    </row>
    <row r="46" spans="1:26" x14ac:dyDescent="0.25">
      <c r="A46" s="65"/>
      <c r="B46" s="66"/>
      <c r="C46" s="66"/>
      <c r="D46" s="27" cm="1">
        <f t="array" ref="D46">IF(I46="---","---",SumHH((I46,L46),(M46,P46)))</f>
        <v>69.053472222222226</v>
      </c>
      <c r="E46" s="23" t="str">
        <f t="shared" si="1"/>
        <v>---</v>
      </c>
      <c r="F46" s="25" t="str">
        <f>IF(G46="DD",('Item Usage'!$D$101+L46)-(P46+M46),"---")</f>
        <v>---</v>
      </c>
      <c r="G46" s="42" t="s">
        <v>28</v>
      </c>
      <c r="H46" s="42" t="s">
        <v>29</v>
      </c>
      <c r="I46" s="27">
        <f>_xlfn.XLOOKUP(G46,'Item Usage'!$B$59:$B$65,'Item Usage'!$D$59:$D$65,"---",0,1)</f>
        <v>83.773611111111123</v>
      </c>
      <c r="J46" s="23" t="str">
        <f>_xlfn.XLOOKUP(G46,'Item Usage'!$B$70:$B$100,'Item Usage'!$D$70:$D$100,"---",0,1)</f>
        <v>---</v>
      </c>
      <c r="K46" s="42" t="s">
        <v>492</v>
      </c>
      <c r="L46" s="27">
        <v>1.9465277777777779</v>
      </c>
      <c r="M46" s="27">
        <v>0</v>
      </c>
      <c r="N46" s="4"/>
      <c r="O46" s="42" t="s">
        <v>101</v>
      </c>
      <c r="P46" s="27">
        <v>16.666666666666668</v>
      </c>
      <c r="Q46" s="63" t="s">
        <v>163</v>
      </c>
      <c r="R46" s="42">
        <v>0</v>
      </c>
      <c r="S46" s="63"/>
      <c r="T46" s="63" t="s">
        <v>164</v>
      </c>
      <c r="U46" s="42" t="s">
        <v>492</v>
      </c>
      <c r="V46" s="63" t="s">
        <v>113</v>
      </c>
      <c r="W46" s="58">
        <v>6720001</v>
      </c>
      <c r="X46" s="42" t="s">
        <v>115</v>
      </c>
      <c r="Y46" s="42" t="s">
        <v>327</v>
      </c>
      <c r="Z46" s="27">
        <v>15.416666666666666</v>
      </c>
    </row>
    <row r="47" spans="1:26" x14ac:dyDescent="0.25">
      <c r="A47" s="65"/>
      <c r="B47" s="66"/>
      <c r="C47" s="66"/>
      <c r="D47" s="27" cm="1">
        <f t="array" ref="D47">IF(I47="---","---",SumHH((I47,L47),(M47,P47)))</f>
        <v>79.638194444444451</v>
      </c>
      <c r="E47" s="23" t="str">
        <f t="shared" si="1"/>
        <v>---</v>
      </c>
      <c r="F47" s="25" t="str">
        <f>IF(G47="DD",('Item Usage'!$D$101+L47)-(P47+M47),"---")</f>
        <v>---</v>
      </c>
      <c r="G47" s="42" t="s">
        <v>28</v>
      </c>
      <c r="H47" s="42" t="s">
        <v>29</v>
      </c>
      <c r="I47" s="27">
        <f>_xlfn.XLOOKUP(G47,'Item Usage'!$B$59:$B$65,'Item Usage'!$D$59:$D$65,"---",0,1)</f>
        <v>83.773611111111123</v>
      </c>
      <c r="J47" s="23" t="str">
        <f>_xlfn.XLOOKUP(G47,'Item Usage'!$B$70:$B$100,'Item Usage'!$D$70:$D$100,"---",0,1)</f>
        <v>---</v>
      </c>
      <c r="K47" s="42" t="s">
        <v>492</v>
      </c>
      <c r="L47" s="27">
        <v>2.1145833333333335</v>
      </c>
      <c r="M47" s="27">
        <v>0</v>
      </c>
      <c r="N47" s="4"/>
      <c r="O47" s="42" t="s">
        <v>101</v>
      </c>
      <c r="P47" s="27">
        <v>6.25</v>
      </c>
      <c r="Q47" s="63" t="s">
        <v>232</v>
      </c>
      <c r="R47" s="42">
        <v>0</v>
      </c>
      <c r="S47" s="63"/>
      <c r="T47" s="63" t="s">
        <v>233</v>
      </c>
      <c r="U47" s="42" t="s">
        <v>519</v>
      </c>
      <c r="V47" s="63" t="s">
        <v>141</v>
      </c>
      <c r="W47" s="58">
        <v>6322001</v>
      </c>
      <c r="X47" s="42" t="s">
        <v>115</v>
      </c>
      <c r="Y47" s="42" t="s">
        <v>328</v>
      </c>
      <c r="Z47" s="27">
        <v>5.625</v>
      </c>
    </row>
    <row r="48" spans="1:26" x14ac:dyDescent="0.25">
      <c r="A48" s="65"/>
      <c r="B48" s="66"/>
      <c r="C48" s="66"/>
      <c r="D48" s="27" cm="1">
        <f t="array" ref="D48">IF(I48="---","---",SumHH((I48,L48),(M48,P48)))</f>
        <v>81.956250000000011</v>
      </c>
      <c r="E48" s="23" t="str">
        <f t="shared" si="1"/>
        <v>---</v>
      </c>
      <c r="F48" s="25" t="str">
        <f>IF(G48="DD",('Item Usage'!$D$101+L48)-(P48+M48),"---")</f>
        <v>---</v>
      </c>
      <c r="G48" s="42" t="s">
        <v>28</v>
      </c>
      <c r="H48" s="42" t="s">
        <v>29</v>
      </c>
      <c r="I48" s="27">
        <f>_xlfn.XLOOKUP(G48,'Item Usage'!$B$59:$B$65,'Item Usage'!$D$59:$D$65,"---",0,1)</f>
        <v>83.773611111111123</v>
      </c>
      <c r="J48" s="23" t="str">
        <f>_xlfn.XLOOKUP(G48,'Item Usage'!$B$70:$B$100,'Item Usage'!$D$70:$D$100,"---",0,1)</f>
        <v>---</v>
      </c>
      <c r="K48" s="42" t="s">
        <v>492</v>
      </c>
      <c r="L48" s="27">
        <v>2.3493055555555555</v>
      </c>
      <c r="M48" s="27">
        <v>0</v>
      </c>
      <c r="N48" s="4"/>
      <c r="O48" s="42" t="s">
        <v>101</v>
      </c>
      <c r="P48" s="27">
        <v>4.166666666666667</v>
      </c>
      <c r="Q48" s="63" t="s">
        <v>400</v>
      </c>
      <c r="R48" s="42">
        <v>0</v>
      </c>
      <c r="S48" s="63"/>
      <c r="T48" s="63" t="s">
        <v>242</v>
      </c>
      <c r="U48" s="42" t="s">
        <v>492</v>
      </c>
      <c r="V48" s="63" t="s">
        <v>113</v>
      </c>
      <c r="W48" s="58">
        <v>6210004</v>
      </c>
      <c r="X48" s="42" t="s">
        <v>115</v>
      </c>
      <c r="Y48" s="42" t="s">
        <v>327</v>
      </c>
      <c r="Z48" s="27">
        <v>3.75</v>
      </c>
    </row>
    <row r="49" spans="1:26" x14ac:dyDescent="0.25">
      <c r="A49" s="65"/>
      <c r="B49" s="66"/>
      <c r="C49" s="66"/>
      <c r="D49" s="27" cm="1">
        <f t="array" ref="D49">IF(I49="---","---",SumHH((I49,L49),(M49,P49)))</f>
        <v>73.855555555555569</v>
      </c>
      <c r="E49" s="23" t="str">
        <f t="shared" si="1"/>
        <v>---</v>
      </c>
      <c r="F49" s="25" t="str">
        <f>IF(G49="DD",('Item Usage'!$D$101+L49)-(P49+M49),"---")</f>
        <v>---</v>
      </c>
      <c r="G49" s="42" t="s">
        <v>28</v>
      </c>
      <c r="H49" s="42" t="s">
        <v>29</v>
      </c>
      <c r="I49" s="27">
        <f>_xlfn.XLOOKUP(G49,'Item Usage'!$B$59:$B$65,'Item Usage'!$D$59:$D$65,"---",0,1)</f>
        <v>83.773611111111123</v>
      </c>
      <c r="J49" s="23" t="str">
        <f>_xlfn.XLOOKUP(G49,'Item Usage'!$B$70:$B$100,'Item Usage'!$D$70:$D$100,"---",0,1)</f>
        <v>---</v>
      </c>
      <c r="K49" s="42" t="s">
        <v>492</v>
      </c>
      <c r="L49" s="27">
        <v>2.5819444444444444</v>
      </c>
      <c r="M49" s="27">
        <v>0</v>
      </c>
      <c r="N49" s="4"/>
      <c r="O49" s="42" t="s">
        <v>101</v>
      </c>
      <c r="P49" s="27">
        <v>12.5</v>
      </c>
      <c r="Q49" s="63" t="s">
        <v>557</v>
      </c>
      <c r="R49" s="42">
        <v>0</v>
      </c>
      <c r="S49" s="63"/>
      <c r="T49" s="63" t="s">
        <v>558</v>
      </c>
      <c r="U49" s="42">
        <v>3155319</v>
      </c>
      <c r="V49" s="63" t="s">
        <v>561</v>
      </c>
      <c r="W49" s="58" t="s">
        <v>560</v>
      </c>
      <c r="X49" s="42">
        <v>54786</v>
      </c>
      <c r="Y49" s="42" t="s">
        <v>328</v>
      </c>
      <c r="Z49" s="27">
        <v>11.25</v>
      </c>
    </row>
    <row r="50" spans="1:26" x14ac:dyDescent="0.25">
      <c r="A50" s="65"/>
      <c r="B50" s="66"/>
      <c r="C50" s="66"/>
      <c r="D50" s="27" cm="1">
        <f t="array" ref="D50">IF(I50="---","---",SumHH((I50,L50),(M50,P50)))</f>
        <v>73.855555555555569</v>
      </c>
      <c r="E50" s="23" t="str">
        <f t="shared" si="1"/>
        <v>---</v>
      </c>
      <c r="F50" s="25" t="str">
        <f>IF(G50="DD",('Item Usage'!$D$101+L50)-(P50+M50),"---")</f>
        <v>---</v>
      </c>
      <c r="G50" s="42" t="s">
        <v>28</v>
      </c>
      <c r="H50" s="42" t="s">
        <v>29</v>
      </c>
      <c r="I50" s="27">
        <f>_xlfn.XLOOKUP(G50,'Item Usage'!$B$59:$B$65,'Item Usage'!$D$59:$D$65,"---",0,1)</f>
        <v>83.773611111111123</v>
      </c>
      <c r="J50" s="23" t="str">
        <f>_xlfn.XLOOKUP(G50,'Item Usage'!$B$70:$B$100,'Item Usage'!$D$70:$D$100,"---",0,1)</f>
        <v>---</v>
      </c>
      <c r="K50" s="42" t="s">
        <v>492</v>
      </c>
      <c r="L50" s="27">
        <v>2.5819444444444444</v>
      </c>
      <c r="M50" s="27">
        <v>0</v>
      </c>
      <c r="N50" s="4"/>
      <c r="O50" s="42" t="s">
        <v>101</v>
      </c>
      <c r="P50" s="27">
        <v>12.5</v>
      </c>
      <c r="Q50" s="63" t="s">
        <v>564</v>
      </c>
      <c r="R50" s="42">
        <v>0</v>
      </c>
      <c r="S50" s="63"/>
      <c r="T50" s="63" t="s">
        <v>565</v>
      </c>
      <c r="U50" s="42">
        <v>2004886</v>
      </c>
      <c r="V50" s="63" t="s">
        <v>567</v>
      </c>
      <c r="W50" s="58" t="s">
        <v>560</v>
      </c>
      <c r="X50" s="42">
        <v>54786</v>
      </c>
      <c r="Y50" s="42" t="s">
        <v>328</v>
      </c>
      <c r="Z50" s="27">
        <v>11.25</v>
      </c>
    </row>
    <row r="51" spans="1:26" x14ac:dyDescent="0.25">
      <c r="A51" s="65"/>
      <c r="B51" s="66"/>
      <c r="C51" s="66"/>
      <c r="D51" s="27" cm="1">
        <f t="array" ref="D51">IF(I51="---","---",SumHH((I51,L51),(M51,P51)))</f>
        <v>82.305555555555571</v>
      </c>
      <c r="E51" s="23" t="str">
        <f t="shared" si="1"/>
        <v>---</v>
      </c>
      <c r="F51" s="25" t="str">
        <f>IF(G51="DD",('Item Usage'!$D$101+L51)-(P51+M51),"---")</f>
        <v>---</v>
      </c>
      <c r="G51" s="42" t="s">
        <v>28</v>
      </c>
      <c r="H51" s="42" t="s">
        <v>29</v>
      </c>
      <c r="I51" s="27">
        <f>_xlfn.XLOOKUP(G51,'Item Usage'!$B$59:$B$65,'Item Usage'!$D$59:$D$65,"---",0,1)</f>
        <v>83.773611111111123</v>
      </c>
      <c r="J51" s="23" t="str">
        <f>_xlfn.XLOOKUP(G51,'Item Usage'!$B$70:$B$100,'Item Usage'!$D$70:$D$100,"---",0,1)</f>
        <v>---</v>
      </c>
      <c r="K51" s="42" t="s">
        <v>492</v>
      </c>
      <c r="L51" s="27">
        <v>2.6986111111111111</v>
      </c>
      <c r="M51" s="27">
        <v>0</v>
      </c>
      <c r="N51" s="4"/>
      <c r="O51" s="42" t="s">
        <v>101</v>
      </c>
      <c r="P51" s="27">
        <v>4.166666666666667</v>
      </c>
      <c r="Q51" s="63" t="s">
        <v>399</v>
      </c>
      <c r="R51" s="42">
        <v>0</v>
      </c>
      <c r="S51" s="63"/>
      <c r="T51" s="63" t="s">
        <v>240</v>
      </c>
      <c r="U51" s="42" t="s">
        <v>492</v>
      </c>
      <c r="V51" s="63" t="s">
        <v>113</v>
      </c>
      <c r="W51" s="58">
        <v>3040004</v>
      </c>
      <c r="X51" s="42" t="s">
        <v>115</v>
      </c>
      <c r="Y51" s="42" t="s">
        <v>327</v>
      </c>
      <c r="Z51" s="27">
        <v>3.75</v>
      </c>
    </row>
    <row r="52" spans="1:26" x14ac:dyDescent="0.25">
      <c r="A52" s="65"/>
      <c r="B52" s="66"/>
      <c r="C52" s="66"/>
      <c r="D52" s="27" cm="1">
        <f t="array" ref="D52">IF(I52="---","---",SumHH((I52,L52),(M52,P52)))</f>
        <v>74.456250000000011</v>
      </c>
      <c r="E52" s="23" t="str">
        <f t="shared" si="1"/>
        <v>---</v>
      </c>
      <c r="F52" s="25" t="str">
        <f>IF(G52="DD",('Item Usage'!$D$101+L52)-(P52+M52),"---")</f>
        <v>---</v>
      </c>
      <c r="G52" s="42" t="s">
        <v>28</v>
      </c>
      <c r="H52" s="42" t="s">
        <v>29</v>
      </c>
      <c r="I52" s="27">
        <f>_xlfn.XLOOKUP(G52,'Item Usage'!$B$59:$B$65,'Item Usage'!$D$59:$D$65,"---",0,1)</f>
        <v>83.773611111111123</v>
      </c>
      <c r="J52" s="23" t="str">
        <f>_xlfn.XLOOKUP(G52,'Item Usage'!$B$70:$B$100,'Item Usage'!$D$70:$D$100,"---",0,1)</f>
        <v>---</v>
      </c>
      <c r="K52" s="42" t="s">
        <v>492</v>
      </c>
      <c r="L52" s="27">
        <v>3.182638888888889</v>
      </c>
      <c r="M52" s="27">
        <v>0</v>
      </c>
      <c r="N52" s="4"/>
      <c r="O52" s="42" t="s">
        <v>101</v>
      </c>
      <c r="P52" s="27">
        <v>12.5</v>
      </c>
      <c r="Q52" s="63" t="s">
        <v>557</v>
      </c>
      <c r="R52" s="42">
        <v>0</v>
      </c>
      <c r="S52" s="63"/>
      <c r="T52" s="63" t="s">
        <v>558</v>
      </c>
      <c r="U52" s="42">
        <v>3764509</v>
      </c>
      <c r="V52" s="63" t="s">
        <v>561</v>
      </c>
      <c r="W52" s="58" t="s">
        <v>560</v>
      </c>
      <c r="X52" s="42">
        <v>54786</v>
      </c>
      <c r="Y52" s="42" t="s">
        <v>328</v>
      </c>
      <c r="Z52" s="27">
        <v>11.25</v>
      </c>
    </row>
    <row r="53" spans="1:26" x14ac:dyDescent="0.25">
      <c r="A53" s="65"/>
      <c r="B53" s="66"/>
      <c r="C53" s="66"/>
      <c r="D53" s="27" cm="1">
        <f t="array" ref="D53">IF(I53="---","---",SumHH((I53,L53),(M53,P53)))</f>
        <v>74.456250000000011</v>
      </c>
      <c r="E53" s="23" t="str">
        <f t="shared" si="1"/>
        <v>---</v>
      </c>
      <c r="F53" s="25" t="str">
        <f>IF(G53="DD",('Item Usage'!$D$101+L53)-(P53+M53),"---")</f>
        <v>---</v>
      </c>
      <c r="G53" s="42" t="s">
        <v>28</v>
      </c>
      <c r="H53" s="42" t="s">
        <v>29</v>
      </c>
      <c r="I53" s="27">
        <f>_xlfn.XLOOKUP(G53,'Item Usage'!$B$59:$B$65,'Item Usage'!$D$59:$D$65,"---",0,1)</f>
        <v>83.773611111111123</v>
      </c>
      <c r="J53" s="23" t="str">
        <f>_xlfn.XLOOKUP(G53,'Item Usage'!$B$70:$B$100,'Item Usage'!$D$70:$D$100,"---",0,1)</f>
        <v>---</v>
      </c>
      <c r="K53" s="42" t="s">
        <v>492</v>
      </c>
      <c r="L53" s="27">
        <v>3.182638888888889</v>
      </c>
      <c r="M53" s="27">
        <v>0</v>
      </c>
      <c r="N53" s="4"/>
      <c r="O53" s="42" t="s">
        <v>101</v>
      </c>
      <c r="P53" s="27">
        <v>12.5</v>
      </c>
      <c r="Q53" s="63" t="s">
        <v>564</v>
      </c>
      <c r="R53" s="42">
        <v>0</v>
      </c>
      <c r="S53" s="63"/>
      <c r="T53" s="63" t="s">
        <v>565</v>
      </c>
      <c r="U53" s="42">
        <v>1500224</v>
      </c>
      <c r="V53" s="63" t="s">
        <v>567</v>
      </c>
      <c r="W53" s="58" t="s">
        <v>560</v>
      </c>
      <c r="X53" s="42">
        <v>54786</v>
      </c>
      <c r="Y53" s="42" t="s">
        <v>328</v>
      </c>
      <c r="Z53" s="27">
        <v>11.25</v>
      </c>
    </row>
    <row r="54" spans="1:26" x14ac:dyDescent="0.25">
      <c r="A54" s="65"/>
      <c r="B54" s="66"/>
      <c r="C54" s="66"/>
      <c r="D54" s="27" cm="1">
        <f t="array" ref="D54">IF(I54="---","---",SumHH((I54,L54),(M54,P54)))</f>
        <v>79.033333333333346</v>
      </c>
      <c r="E54" s="23" t="str">
        <f t="shared" si="1"/>
        <v>---</v>
      </c>
      <c r="F54" s="25" t="str">
        <f>IF(G54="DD",('Item Usage'!$D$101+L54)-(P54+M54),"---")</f>
        <v>---</v>
      </c>
      <c r="G54" s="42" t="s">
        <v>28</v>
      </c>
      <c r="H54" s="42" t="s">
        <v>29</v>
      </c>
      <c r="I54" s="27">
        <f>_xlfn.XLOOKUP(G54,'Item Usage'!$B$59:$B$65,'Item Usage'!$D$59:$D$65,"---",0,1)</f>
        <v>83.773611111111123</v>
      </c>
      <c r="J54" s="23" t="str">
        <f>_xlfn.XLOOKUP(G54,'Item Usage'!$B$70:$B$100,'Item Usage'!$D$70:$D$100,"---",0,1)</f>
        <v>---</v>
      </c>
      <c r="K54" s="42" t="s">
        <v>492</v>
      </c>
      <c r="L54" s="27">
        <v>3.5930555555555554</v>
      </c>
      <c r="M54" s="27">
        <v>0</v>
      </c>
      <c r="N54" s="4"/>
      <c r="O54" s="42" t="s">
        <v>101</v>
      </c>
      <c r="P54" s="27">
        <v>8.3333333333333339</v>
      </c>
      <c r="Q54" s="63" t="s">
        <v>572</v>
      </c>
      <c r="R54" s="42">
        <v>0</v>
      </c>
      <c r="S54" s="63"/>
      <c r="T54" s="63" t="s">
        <v>573</v>
      </c>
      <c r="U54" s="42" t="s">
        <v>543</v>
      </c>
      <c r="V54" s="63" t="s">
        <v>205</v>
      </c>
      <c r="W54" s="58">
        <v>6220006</v>
      </c>
      <c r="X54" s="42" t="s">
        <v>115</v>
      </c>
      <c r="Y54" s="42" t="s">
        <v>328</v>
      </c>
      <c r="Z54" s="27">
        <v>7.5</v>
      </c>
    </row>
    <row r="55" spans="1:26" x14ac:dyDescent="0.25">
      <c r="A55" s="65"/>
      <c r="B55" s="66"/>
      <c r="C55" s="66"/>
      <c r="D55" s="27" cm="1">
        <f t="array" ref="D55">IF(I55="---","---",SumHH((I55,L55),(M55,P55)))</f>
        <v>81.33194444444446</v>
      </c>
      <c r="E55" s="23" t="str">
        <f t="shared" si="1"/>
        <v>---</v>
      </c>
      <c r="F55" s="25" t="str">
        <f>IF(G55="DD",('Item Usage'!$D$101+L55)-(P55+M55),"---")</f>
        <v>---</v>
      </c>
      <c r="G55" s="42" t="s">
        <v>28</v>
      </c>
      <c r="H55" s="42" t="s">
        <v>29</v>
      </c>
      <c r="I55" s="27">
        <f>_xlfn.XLOOKUP(G55,'Item Usage'!$B$59:$B$65,'Item Usage'!$D$59:$D$65,"---",0,1)</f>
        <v>83.773611111111123</v>
      </c>
      <c r="J55" s="23" t="str">
        <f>_xlfn.XLOOKUP(G55,'Item Usage'!$B$70:$B$100,'Item Usage'!$D$70:$D$100,"---",0,1)</f>
        <v>---</v>
      </c>
      <c r="K55" s="42" t="s">
        <v>492</v>
      </c>
      <c r="L55" s="27">
        <v>3.8083333333333331</v>
      </c>
      <c r="M55" s="27">
        <v>0</v>
      </c>
      <c r="N55" s="4"/>
      <c r="O55" s="42" t="s">
        <v>101</v>
      </c>
      <c r="P55" s="27">
        <v>6.25</v>
      </c>
      <c r="Q55" s="63" t="s">
        <v>414</v>
      </c>
      <c r="R55" s="42">
        <v>0</v>
      </c>
      <c r="S55" s="63"/>
      <c r="T55" s="63" t="s">
        <v>415</v>
      </c>
      <c r="U55" s="42" t="s">
        <v>576</v>
      </c>
      <c r="V55" s="63" t="s">
        <v>577</v>
      </c>
      <c r="W55" s="58">
        <v>6222002</v>
      </c>
      <c r="X55" s="42" t="s">
        <v>115</v>
      </c>
      <c r="Y55" s="42" t="s">
        <v>328</v>
      </c>
      <c r="Z55" s="27">
        <v>5.625</v>
      </c>
    </row>
    <row r="56" spans="1:26" x14ac:dyDescent="0.25">
      <c r="A56" s="65"/>
      <c r="B56" s="66"/>
      <c r="C56" s="66"/>
      <c r="D56" s="27" cm="1">
        <f t="array" ref="D56">IF(I56="---","---",SumHH((I56,L56),(M56,P56)))</f>
        <v>81.33194444444446</v>
      </c>
      <c r="E56" s="23" t="str">
        <f t="shared" si="1"/>
        <v>---</v>
      </c>
      <c r="F56" s="25" t="str">
        <f>IF(G56="DD",('Item Usage'!$D$101+L56)-(P56+M56),"---")</f>
        <v>---</v>
      </c>
      <c r="G56" s="42" t="s">
        <v>28</v>
      </c>
      <c r="H56" s="42" t="s">
        <v>29</v>
      </c>
      <c r="I56" s="27">
        <f>_xlfn.XLOOKUP(G56,'Item Usage'!$B$59:$B$65,'Item Usage'!$D$59:$D$65,"---",0,1)</f>
        <v>83.773611111111123</v>
      </c>
      <c r="J56" s="23" t="str">
        <f>_xlfn.XLOOKUP(G56,'Item Usage'!$B$70:$B$100,'Item Usage'!$D$70:$D$100,"---",0,1)</f>
        <v>---</v>
      </c>
      <c r="K56" s="42" t="s">
        <v>492</v>
      </c>
      <c r="L56" s="27">
        <v>3.8083333333333331</v>
      </c>
      <c r="M56" s="27">
        <v>0</v>
      </c>
      <c r="N56" s="4"/>
      <c r="O56" s="42" t="s">
        <v>101</v>
      </c>
      <c r="P56" s="27">
        <v>6.25</v>
      </c>
      <c r="Q56" s="63" t="s">
        <v>223</v>
      </c>
      <c r="R56" s="42">
        <v>0</v>
      </c>
      <c r="S56" s="63"/>
      <c r="T56" s="63" t="s">
        <v>224</v>
      </c>
      <c r="U56" s="42" t="s">
        <v>492</v>
      </c>
      <c r="V56" s="63" t="s">
        <v>113</v>
      </c>
      <c r="W56" s="58">
        <v>5210005</v>
      </c>
      <c r="X56" s="42" t="s">
        <v>115</v>
      </c>
      <c r="Y56" s="42" t="s">
        <v>327</v>
      </c>
      <c r="Z56" s="27">
        <v>5.625</v>
      </c>
    </row>
    <row r="57" spans="1:26" x14ac:dyDescent="0.25">
      <c r="A57" s="65"/>
      <c r="B57" s="66"/>
      <c r="C57" s="66"/>
      <c r="D57" s="27" cm="1">
        <f t="array" ref="D57">IF(I57="---","---",SumHH((I57,L57),(M57,P57)))</f>
        <v>81.33194444444446</v>
      </c>
      <c r="E57" s="23" t="str">
        <f t="shared" si="1"/>
        <v>---</v>
      </c>
      <c r="F57" s="25" t="str">
        <f>IF(G57="DD",('Item Usage'!$D$101+L57)-(P57+M57),"---")</f>
        <v>---</v>
      </c>
      <c r="G57" s="42" t="s">
        <v>28</v>
      </c>
      <c r="H57" s="42" t="s">
        <v>29</v>
      </c>
      <c r="I57" s="27">
        <f>_xlfn.XLOOKUP(G57,'Item Usage'!$B$59:$B$65,'Item Usage'!$D$59:$D$65,"---",0,1)</f>
        <v>83.773611111111123</v>
      </c>
      <c r="J57" s="23" t="str">
        <f>_xlfn.XLOOKUP(G57,'Item Usage'!$B$70:$B$100,'Item Usage'!$D$70:$D$100,"---",0,1)</f>
        <v>---</v>
      </c>
      <c r="K57" s="42" t="s">
        <v>492</v>
      </c>
      <c r="L57" s="27">
        <v>3.8083333333333331</v>
      </c>
      <c r="M57" s="27">
        <v>0</v>
      </c>
      <c r="N57" s="4"/>
      <c r="O57" s="42" t="s">
        <v>101</v>
      </c>
      <c r="P57" s="27">
        <v>6.25</v>
      </c>
      <c r="Q57" s="63" t="s">
        <v>226</v>
      </c>
      <c r="R57" s="42">
        <v>0</v>
      </c>
      <c r="S57" s="63"/>
      <c r="T57" s="63" t="s">
        <v>227</v>
      </c>
      <c r="U57" s="42" t="s">
        <v>492</v>
      </c>
      <c r="V57" s="63" t="s">
        <v>113</v>
      </c>
      <c r="W57" s="58">
        <v>5210007</v>
      </c>
      <c r="X57" s="42" t="s">
        <v>115</v>
      </c>
      <c r="Y57" s="42" t="s">
        <v>327</v>
      </c>
      <c r="Z57" s="27">
        <v>5.625</v>
      </c>
    </row>
    <row r="58" spans="1:26" x14ac:dyDescent="0.25">
      <c r="A58" s="65"/>
      <c r="B58" s="66"/>
      <c r="C58" s="66"/>
      <c r="D58" s="27" cm="1">
        <f t="array" ref="D58">IF(I58="---","---",SumHH((I58,L58),(M58,P58)))</f>
        <v>81.33194444444446</v>
      </c>
      <c r="E58" s="23" t="str">
        <f t="shared" si="1"/>
        <v>---</v>
      </c>
      <c r="F58" s="25" t="str">
        <f>IF(G58="DD",('Item Usage'!$D$101+L58)-(P58+M58),"---")</f>
        <v>---</v>
      </c>
      <c r="G58" s="42" t="s">
        <v>28</v>
      </c>
      <c r="H58" s="42" t="s">
        <v>29</v>
      </c>
      <c r="I58" s="27">
        <f>_xlfn.XLOOKUP(G58,'Item Usage'!$B$59:$B$65,'Item Usage'!$D$59:$D$65,"---",0,1)</f>
        <v>83.773611111111123</v>
      </c>
      <c r="J58" s="23" t="str">
        <f>_xlfn.XLOOKUP(G58,'Item Usage'!$B$70:$B$100,'Item Usage'!$D$70:$D$100,"---",0,1)</f>
        <v>---</v>
      </c>
      <c r="K58" s="42" t="s">
        <v>492</v>
      </c>
      <c r="L58" s="27">
        <v>3.8083333333333331</v>
      </c>
      <c r="M58" s="27">
        <v>0</v>
      </c>
      <c r="N58" s="4"/>
      <c r="O58" s="42" t="s">
        <v>101</v>
      </c>
      <c r="P58" s="27">
        <v>6.25</v>
      </c>
      <c r="Q58" s="63" t="s">
        <v>229</v>
      </c>
      <c r="R58" s="42">
        <v>0</v>
      </c>
      <c r="S58" s="63"/>
      <c r="T58" s="63" t="s">
        <v>230</v>
      </c>
      <c r="U58" s="42" t="s">
        <v>492</v>
      </c>
      <c r="V58" s="63" t="s">
        <v>113</v>
      </c>
      <c r="W58" s="58">
        <v>5210008</v>
      </c>
      <c r="X58" s="42" t="s">
        <v>115</v>
      </c>
      <c r="Y58" s="42" t="s">
        <v>327</v>
      </c>
      <c r="Z58" s="27">
        <v>5.625</v>
      </c>
    </row>
    <row r="59" spans="1:26" x14ac:dyDescent="0.25">
      <c r="A59" s="65"/>
      <c r="B59" s="66"/>
      <c r="C59" s="66"/>
      <c r="D59" s="27" cm="1">
        <f t="array" ref="D59">IF(I59="---","---",SumHH((I59,L59),(M59,P59)))</f>
        <v>81.33194444444446</v>
      </c>
      <c r="E59" s="23" t="str">
        <f t="shared" si="1"/>
        <v>---</v>
      </c>
      <c r="F59" s="25" t="str">
        <f>IF(G59="DD",('Item Usage'!$D$101+L59)-(P59+M59),"---")</f>
        <v>---</v>
      </c>
      <c r="G59" s="42" t="s">
        <v>28</v>
      </c>
      <c r="H59" s="42" t="s">
        <v>29</v>
      </c>
      <c r="I59" s="27">
        <f>_xlfn.XLOOKUP(G59,'Item Usage'!$B$59:$B$65,'Item Usage'!$D$59:$D$65,"---",0,1)</f>
        <v>83.773611111111123</v>
      </c>
      <c r="J59" s="23" t="str">
        <f>_xlfn.XLOOKUP(G59,'Item Usage'!$B$70:$B$100,'Item Usage'!$D$70:$D$100,"---",0,1)</f>
        <v>---</v>
      </c>
      <c r="K59" s="42" t="s">
        <v>492</v>
      </c>
      <c r="L59" s="27">
        <v>3.8083333333333331</v>
      </c>
      <c r="M59" s="27">
        <v>0</v>
      </c>
      <c r="N59" s="4"/>
      <c r="O59" s="42" t="s">
        <v>101</v>
      </c>
      <c r="P59" s="27">
        <v>6.25</v>
      </c>
      <c r="Q59" s="63" t="s">
        <v>387</v>
      </c>
      <c r="R59" s="42">
        <v>0</v>
      </c>
      <c r="S59" s="63"/>
      <c r="T59" s="63" t="s">
        <v>388</v>
      </c>
      <c r="U59" s="42" t="s">
        <v>492</v>
      </c>
      <c r="V59" s="63" t="s">
        <v>113</v>
      </c>
      <c r="W59" s="58" t="s">
        <v>389</v>
      </c>
      <c r="X59" s="42" t="s">
        <v>115</v>
      </c>
      <c r="Y59" s="42" t="s">
        <v>327</v>
      </c>
      <c r="Z59" s="27">
        <v>5.625</v>
      </c>
    </row>
    <row r="60" spans="1:26" x14ac:dyDescent="0.25">
      <c r="A60" s="65"/>
      <c r="B60" s="66"/>
      <c r="C60" s="66"/>
      <c r="D60" s="27" cm="1">
        <f t="array" ref="D60">IF(I60="---","---",SumHH((I60,L60),(M60,P60)))</f>
        <v>81.33194444444446</v>
      </c>
      <c r="E60" s="23" t="str">
        <f t="shared" si="1"/>
        <v>---</v>
      </c>
      <c r="F60" s="25" t="str">
        <f>IF(G60="DD",('Item Usage'!$D$101+L60)-(P60+M60),"---")</f>
        <v>---</v>
      </c>
      <c r="G60" s="42" t="s">
        <v>28</v>
      </c>
      <c r="H60" s="42" t="s">
        <v>29</v>
      </c>
      <c r="I60" s="27">
        <f>_xlfn.XLOOKUP(G60,'Item Usage'!$B$59:$B$65,'Item Usage'!$D$59:$D$65,"---",0,1)</f>
        <v>83.773611111111123</v>
      </c>
      <c r="J60" s="23" t="str">
        <f>_xlfn.XLOOKUP(G60,'Item Usage'!$B$70:$B$100,'Item Usage'!$D$70:$D$100,"---",0,1)</f>
        <v>---</v>
      </c>
      <c r="K60" s="42" t="s">
        <v>492</v>
      </c>
      <c r="L60" s="27">
        <v>3.8083333333333331</v>
      </c>
      <c r="M60" s="27">
        <v>0</v>
      </c>
      <c r="N60" s="4"/>
      <c r="O60" s="42" t="s">
        <v>101</v>
      </c>
      <c r="P60" s="27">
        <v>6.25</v>
      </c>
      <c r="Q60" s="63" t="s">
        <v>235</v>
      </c>
      <c r="R60" s="42">
        <v>0</v>
      </c>
      <c r="S60" s="63"/>
      <c r="T60" s="63" t="s">
        <v>236</v>
      </c>
      <c r="U60" s="42" t="s">
        <v>579</v>
      </c>
      <c r="V60" s="63" t="s">
        <v>237</v>
      </c>
      <c r="W60" s="58">
        <v>6420002</v>
      </c>
      <c r="X60" s="42" t="s">
        <v>115</v>
      </c>
      <c r="Y60" s="42" t="s">
        <v>328</v>
      </c>
      <c r="Z60" s="27">
        <v>5.625</v>
      </c>
    </row>
    <row r="61" spans="1:26" x14ac:dyDescent="0.25">
      <c r="A61" s="65"/>
      <c r="B61" s="66"/>
      <c r="C61" s="66"/>
      <c r="D61" s="27" cm="1">
        <f t="array" ref="D61">IF(I61="---","---",SumHH((I61,L61),(M61,P61)))</f>
        <v>81.33194444444446</v>
      </c>
      <c r="E61" s="23" t="str">
        <f t="shared" si="1"/>
        <v>---</v>
      </c>
      <c r="F61" s="25" t="str">
        <f>IF(G61="DD",('Item Usage'!$D$101+L61)-(P61+M61),"---")</f>
        <v>---</v>
      </c>
      <c r="G61" s="42" t="s">
        <v>28</v>
      </c>
      <c r="H61" s="42" t="s">
        <v>29</v>
      </c>
      <c r="I61" s="27">
        <f>_xlfn.XLOOKUP(G61,'Item Usage'!$B$59:$B$65,'Item Usage'!$D$59:$D$65,"---",0,1)</f>
        <v>83.773611111111123</v>
      </c>
      <c r="J61" s="23" t="str">
        <f>_xlfn.XLOOKUP(G61,'Item Usage'!$B$70:$B$100,'Item Usage'!$D$70:$D$100,"---",0,1)</f>
        <v>---</v>
      </c>
      <c r="K61" s="42" t="s">
        <v>492</v>
      </c>
      <c r="L61" s="27">
        <v>3.8083333333333331</v>
      </c>
      <c r="M61" s="27">
        <v>0</v>
      </c>
      <c r="N61" s="4"/>
      <c r="O61" s="42" t="s">
        <v>101</v>
      </c>
      <c r="P61" s="27">
        <v>6.25</v>
      </c>
      <c r="Q61" s="63" t="s">
        <v>208</v>
      </c>
      <c r="R61" s="42">
        <v>0</v>
      </c>
      <c r="S61" s="63"/>
      <c r="T61" s="63" t="s">
        <v>209</v>
      </c>
      <c r="U61" s="42" t="s">
        <v>580</v>
      </c>
      <c r="V61" s="63" t="s">
        <v>210</v>
      </c>
      <c r="W61" s="58">
        <v>6210002</v>
      </c>
      <c r="X61" s="42" t="s">
        <v>115</v>
      </c>
      <c r="Y61" s="42" t="s">
        <v>328</v>
      </c>
      <c r="Z61" s="27">
        <v>5.625</v>
      </c>
    </row>
    <row r="62" spans="1:26" x14ac:dyDescent="0.25">
      <c r="A62" s="65"/>
      <c r="B62" s="66"/>
      <c r="C62" s="66"/>
      <c r="D62" s="27" cm="1">
        <f t="array" ref="D62">IF(I62="---","---",SumHH((I62,L62),(M62,P62)))</f>
        <v>81.33194444444446</v>
      </c>
      <c r="E62" s="23" t="str">
        <f t="shared" si="1"/>
        <v>---</v>
      </c>
      <c r="F62" s="25" t="str">
        <f>IF(G62="DD",('Item Usage'!$D$101+L62)-(P62+M62),"---")</f>
        <v>---</v>
      </c>
      <c r="G62" s="42" t="s">
        <v>28</v>
      </c>
      <c r="H62" s="42" t="s">
        <v>29</v>
      </c>
      <c r="I62" s="27">
        <f>_xlfn.XLOOKUP(G62,'Item Usage'!$B$59:$B$65,'Item Usage'!$D$59:$D$65,"---",0,1)</f>
        <v>83.773611111111123</v>
      </c>
      <c r="J62" s="23" t="str">
        <f>_xlfn.XLOOKUP(G62,'Item Usage'!$B$70:$B$100,'Item Usage'!$D$70:$D$100,"---",0,1)</f>
        <v>---</v>
      </c>
      <c r="K62" s="42" t="s">
        <v>492</v>
      </c>
      <c r="L62" s="27">
        <v>3.8083333333333331</v>
      </c>
      <c r="M62" s="27">
        <v>0</v>
      </c>
      <c r="N62" s="4"/>
      <c r="O62" s="42" t="s">
        <v>101</v>
      </c>
      <c r="P62" s="27">
        <v>6.25</v>
      </c>
      <c r="Q62" s="63" t="s">
        <v>208</v>
      </c>
      <c r="R62" s="42">
        <v>0</v>
      </c>
      <c r="S62" s="63"/>
      <c r="T62" s="63" t="s">
        <v>209</v>
      </c>
      <c r="U62" s="42" t="s">
        <v>581</v>
      </c>
      <c r="V62" s="63" t="s">
        <v>210</v>
      </c>
      <c r="W62" s="58">
        <v>6210002</v>
      </c>
      <c r="X62" s="42" t="s">
        <v>115</v>
      </c>
      <c r="Y62" s="42" t="s">
        <v>328</v>
      </c>
      <c r="Z62" s="27">
        <v>5.625</v>
      </c>
    </row>
    <row r="63" spans="1:26" x14ac:dyDescent="0.25">
      <c r="A63" s="65"/>
      <c r="B63" s="66"/>
      <c r="C63" s="66"/>
      <c r="D63" s="27" cm="1">
        <f t="array" ref="D63">IF(I63="---","---",SumHH((I63,L63),(M63,P63)))</f>
        <v>81.33194444444446</v>
      </c>
      <c r="E63" s="23" t="str">
        <f t="shared" si="1"/>
        <v>---</v>
      </c>
      <c r="F63" s="25" t="str">
        <f>IF(G63="DD",('Item Usage'!$D$101+L63)-(P63+M63),"---")</f>
        <v>---</v>
      </c>
      <c r="G63" s="42" t="s">
        <v>28</v>
      </c>
      <c r="H63" s="42" t="s">
        <v>29</v>
      </c>
      <c r="I63" s="27">
        <f>_xlfn.XLOOKUP(G63,'Item Usage'!$B$59:$B$65,'Item Usage'!$D$59:$D$65,"---",0,1)</f>
        <v>83.773611111111123</v>
      </c>
      <c r="J63" s="23" t="str">
        <f>_xlfn.XLOOKUP(G63,'Item Usage'!$B$70:$B$100,'Item Usage'!$D$70:$D$100,"---",0,1)</f>
        <v>---</v>
      </c>
      <c r="K63" s="42" t="s">
        <v>492</v>
      </c>
      <c r="L63" s="27">
        <v>3.8083333333333331</v>
      </c>
      <c r="M63" s="27">
        <v>0</v>
      </c>
      <c r="N63" s="4"/>
      <c r="O63" s="42" t="s">
        <v>101</v>
      </c>
      <c r="P63" s="27">
        <v>6.25</v>
      </c>
      <c r="Q63" s="63" t="s">
        <v>213</v>
      </c>
      <c r="R63" s="42">
        <v>0</v>
      </c>
      <c r="S63" s="63" t="s">
        <v>582</v>
      </c>
      <c r="T63" s="63" t="s">
        <v>214</v>
      </c>
      <c r="U63" s="42" t="s">
        <v>581</v>
      </c>
      <c r="V63" s="63" t="s">
        <v>210</v>
      </c>
      <c r="W63" s="58">
        <v>6210003</v>
      </c>
      <c r="X63" s="42" t="s">
        <v>115</v>
      </c>
      <c r="Y63" s="42" t="s">
        <v>328</v>
      </c>
      <c r="Z63" s="27">
        <v>5.625</v>
      </c>
    </row>
    <row r="64" spans="1:26" x14ac:dyDescent="0.25">
      <c r="A64" s="65"/>
      <c r="B64" s="66"/>
      <c r="C64" s="66"/>
      <c r="D64" s="27" cm="1">
        <f t="array" ref="D64">IF(I64="---","---",SumHH((I64,L64),(M64,P64)))</f>
        <v>81.33194444444446</v>
      </c>
      <c r="E64" s="23" t="str">
        <f t="shared" si="1"/>
        <v>---</v>
      </c>
      <c r="F64" s="25" t="str">
        <f>IF(G64="DD",('Item Usage'!$D$101+L64)-(P64+M64),"---")</f>
        <v>---</v>
      </c>
      <c r="G64" s="42" t="s">
        <v>28</v>
      </c>
      <c r="H64" s="42" t="s">
        <v>29</v>
      </c>
      <c r="I64" s="27">
        <f>_xlfn.XLOOKUP(G64,'Item Usage'!$B$59:$B$65,'Item Usage'!$D$59:$D$65,"---",0,1)</f>
        <v>83.773611111111123</v>
      </c>
      <c r="J64" s="23" t="str">
        <f>_xlfn.XLOOKUP(G64,'Item Usage'!$B$70:$B$100,'Item Usage'!$D$70:$D$100,"---",0,1)</f>
        <v>---</v>
      </c>
      <c r="K64" s="42" t="s">
        <v>492</v>
      </c>
      <c r="L64" s="27">
        <v>3.8083333333333331</v>
      </c>
      <c r="M64" s="27">
        <v>0</v>
      </c>
      <c r="N64" s="4"/>
      <c r="O64" s="42" t="s">
        <v>101</v>
      </c>
      <c r="P64" s="27">
        <v>6.25</v>
      </c>
      <c r="Q64" s="63" t="s">
        <v>208</v>
      </c>
      <c r="R64" s="42">
        <v>0</v>
      </c>
      <c r="S64" s="63"/>
      <c r="T64" s="63" t="s">
        <v>209</v>
      </c>
      <c r="U64" s="42" t="s">
        <v>583</v>
      </c>
      <c r="V64" s="63" t="s">
        <v>210</v>
      </c>
      <c r="W64" s="58">
        <v>6210002</v>
      </c>
      <c r="X64" s="42" t="s">
        <v>115</v>
      </c>
      <c r="Y64" s="42" t="s">
        <v>328</v>
      </c>
      <c r="Z64" s="27">
        <v>5.625</v>
      </c>
    </row>
    <row r="65" spans="1:26" x14ac:dyDescent="0.25">
      <c r="A65" s="65"/>
      <c r="B65" s="66"/>
      <c r="C65" s="66"/>
      <c r="D65" s="27" cm="1">
        <f t="array" ref="D65">IF(I65="---","---",SumHH((I65,L65),(M65,P65)))</f>
        <v>81.33194444444446</v>
      </c>
      <c r="E65" s="23" t="str">
        <f t="shared" si="1"/>
        <v>---</v>
      </c>
      <c r="F65" s="25" t="str">
        <f>IF(G65="DD",('Item Usage'!$D$101+L65)-(P65+M65),"---")</f>
        <v>---</v>
      </c>
      <c r="G65" s="42" t="s">
        <v>28</v>
      </c>
      <c r="H65" s="42" t="s">
        <v>29</v>
      </c>
      <c r="I65" s="27">
        <f>_xlfn.XLOOKUP(G65,'Item Usage'!$B$59:$B$65,'Item Usage'!$D$59:$D$65,"---",0,1)</f>
        <v>83.773611111111123</v>
      </c>
      <c r="J65" s="23" t="str">
        <f>_xlfn.XLOOKUP(G65,'Item Usage'!$B$70:$B$100,'Item Usage'!$D$70:$D$100,"---",0,1)</f>
        <v>---</v>
      </c>
      <c r="K65" s="42" t="s">
        <v>492</v>
      </c>
      <c r="L65" s="27">
        <v>3.8083333333333331</v>
      </c>
      <c r="M65" s="27">
        <v>0</v>
      </c>
      <c r="N65" s="4"/>
      <c r="O65" s="42" t="s">
        <v>101</v>
      </c>
      <c r="P65" s="27">
        <v>6.25</v>
      </c>
      <c r="Q65" s="63" t="s">
        <v>213</v>
      </c>
      <c r="R65" s="42">
        <v>0</v>
      </c>
      <c r="S65" s="63" t="s">
        <v>239</v>
      </c>
      <c r="T65" s="63" t="s">
        <v>214</v>
      </c>
      <c r="U65" s="42" t="s">
        <v>583</v>
      </c>
      <c r="V65" s="63" t="s">
        <v>210</v>
      </c>
      <c r="W65" s="58">
        <v>6210003</v>
      </c>
      <c r="X65" s="42" t="s">
        <v>115</v>
      </c>
      <c r="Y65" s="42" t="s">
        <v>328</v>
      </c>
      <c r="Z65" s="27">
        <v>5.625</v>
      </c>
    </row>
    <row r="66" spans="1:26" x14ac:dyDescent="0.25">
      <c r="A66" s="65"/>
      <c r="B66" s="66"/>
      <c r="C66" s="66"/>
      <c r="D66" s="27" cm="1">
        <f t="array" ref="D66">IF(I66="---","---",SumHH((I66,L66),(M66,P66)))</f>
        <v>81.33194444444446</v>
      </c>
      <c r="E66" s="23" t="str">
        <f t="shared" si="1"/>
        <v>---</v>
      </c>
      <c r="F66" s="25" t="str">
        <f>IF(G66="DD",('Item Usage'!$D$101+L66)-(P66+M66),"---")</f>
        <v>---</v>
      </c>
      <c r="G66" s="42" t="s">
        <v>28</v>
      </c>
      <c r="H66" s="42" t="s">
        <v>29</v>
      </c>
      <c r="I66" s="27">
        <f>_xlfn.XLOOKUP(G66,'Item Usage'!$B$59:$B$65,'Item Usage'!$D$59:$D$65,"---",0,1)</f>
        <v>83.773611111111123</v>
      </c>
      <c r="J66" s="23" t="str">
        <f>_xlfn.XLOOKUP(G66,'Item Usage'!$B$70:$B$100,'Item Usage'!$D$70:$D$100,"---",0,1)</f>
        <v>---</v>
      </c>
      <c r="K66" s="42" t="s">
        <v>492</v>
      </c>
      <c r="L66" s="27">
        <v>3.8083333333333331</v>
      </c>
      <c r="M66" s="27">
        <v>0</v>
      </c>
      <c r="N66" s="4"/>
      <c r="O66" s="42" t="s">
        <v>101</v>
      </c>
      <c r="P66" s="27">
        <v>6.25</v>
      </c>
      <c r="Q66" s="63" t="s">
        <v>208</v>
      </c>
      <c r="R66" s="42">
        <v>0</v>
      </c>
      <c r="S66" s="63"/>
      <c r="T66" s="63" t="s">
        <v>209</v>
      </c>
      <c r="U66" s="42" t="s">
        <v>584</v>
      </c>
      <c r="V66" s="63" t="s">
        <v>210</v>
      </c>
      <c r="W66" s="58">
        <v>6210002</v>
      </c>
      <c r="X66" s="42" t="s">
        <v>115</v>
      </c>
      <c r="Y66" s="42" t="s">
        <v>328</v>
      </c>
      <c r="Z66" s="27">
        <v>5.625</v>
      </c>
    </row>
    <row r="67" spans="1:26" x14ac:dyDescent="0.25">
      <c r="A67" s="65"/>
      <c r="B67" s="66"/>
      <c r="C67" s="66"/>
      <c r="D67" s="27" cm="1">
        <f t="array" ref="D67">IF(I67="---","---",SumHH((I67,L67),(M67,P67)))</f>
        <v>81.33194444444446</v>
      </c>
      <c r="E67" s="23" t="str">
        <f t="shared" si="1"/>
        <v>---</v>
      </c>
      <c r="F67" s="25" t="str">
        <f>IF(G67="DD",('Item Usage'!$D$101+L67)-(P67+M67),"---")</f>
        <v>---</v>
      </c>
      <c r="G67" s="42" t="s">
        <v>28</v>
      </c>
      <c r="H67" s="42" t="s">
        <v>29</v>
      </c>
      <c r="I67" s="27">
        <f>_xlfn.XLOOKUP(G67,'Item Usage'!$B$59:$B$65,'Item Usage'!$D$59:$D$65,"---",0,1)</f>
        <v>83.773611111111123</v>
      </c>
      <c r="J67" s="23" t="str">
        <f>_xlfn.XLOOKUP(G67,'Item Usage'!$B$70:$B$100,'Item Usage'!$D$70:$D$100,"---",0,1)</f>
        <v>---</v>
      </c>
      <c r="K67" s="42" t="s">
        <v>492</v>
      </c>
      <c r="L67" s="27">
        <v>3.8083333333333331</v>
      </c>
      <c r="M67" s="27">
        <v>0</v>
      </c>
      <c r="N67" s="4"/>
      <c r="O67" s="42" t="s">
        <v>101</v>
      </c>
      <c r="P67" s="27">
        <v>6.25</v>
      </c>
      <c r="Q67" s="63" t="s">
        <v>213</v>
      </c>
      <c r="R67" s="42">
        <v>0</v>
      </c>
      <c r="S67" s="63" t="s">
        <v>582</v>
      </c>
      <c r="T67" s="63" t="s">
        <v>214</v>
      </c>
      <c r="U67" s="42" t="s">
        <v>584</v>
      </c>
      <c r="V67" s="63" t="s">
        <v>210</v>
      </c>
      <c r="W67" s="58">
        <v>6210003</v>
      </c>
      <c r="X67" s="42" t="s">
        <v>115</v>
      </c>
      <c r="Y67" s="42" t="s">
        <v>328</v>
      </c>
      <c r="Z67" s="27">
        <v>5.625</v>
      </c>
    </row>
    <row r="68" spans="1:26" x14ac:dyDescent="0.25">
      <c r="A68" s="65"/>
      <c r="B68" s="66"/>
      <c r="C68" s="66"/>
      <c r="D68" s="27" cm="1">
        <f t="array" ref="D68">IF(I68="---","---",SumHH((I68,L68),(M68,P68)))</f>
        <v>83.621527777777786</v>
      </c>
      <c r="E68" s="23" t="str">
        <f t="shared" ref="E68:E99" si="2">IF(J68&lt;&gt;"---",($J68+$L68)-($P68+$M68),"---")</f>
        <v>---</v>
      </c>
      <c r="F68" s="25" t="str">
        <f>IF(G68="DD",('Item Usage'!$D$101+L68)-(P68+M68),"---")</f>
        <v>---</v>
      </c>
      <c r="G68" s="42" t="s">
        <v>28</v>
      </c>
      <c r="H68" s="42" t="s">
        <v>29</v>
      </c>
      <c r="I68" s="27">
        <f>_xlfn.XLOOKUP(G68,'Item Usage'!$B$59:$B$65,'Item Usage'!$D$59:$D$65,"---",0,1)</f>
        <v>83.773611111111123</v>
      </c>
      <c r="J68" s="23" t="str">
        <f>_xlfn.XLOOKUP(G68,'Item Usage'!$B$70:$B$100,'Item Usage'!$D$70:$D$100,"---",0,1)</f>
        <v>---</v>
      </c>
      <c r="K68" s="42" t="s">
        <v>492</v>
      </c>
      <c r="L68" s="27">
        <v>4.0145833333333334</v>
      </c>
      <c r="M68" s="27">
        <v>0</v>
      </c>
      <c r="N68" s="4"/>
      <c r="O68" s="42" t="s">
        <v>101</v>
      </c>
      <c r="P68" s="27">
        <v>4.166666666666667</v>
      </c>
      <c r="Q68" s="63" t="s">
        <v>220</v>
      </c>
      <c r="R68" s="42">
        <v>0</v>
      </c>
      <c r="S68" s="63" t="s">
        <v>124</v>
      </c>
      <c r="T68" s="63" t="s">
        <v>221</v>
      </c>
      <c r="U68" s="42" t="s">
        <v>495</v>
      </c>
      <c r="V68" s="63" t="s">
        <v>105</v>
      </c>
      <c r="W68" s="58">
        <v>7200003</v>
      </c>
      <c r="X68" s="42">
        <v>64643</v>
      </c>
      <c r="Y68" s="42" t="s">
        <v>326</v>
      </c>
      <c r="Z68" s="27">
        <v>3.75</v>
      </c>
    </row>
    <row r="69" spans="1:26" x14ac:dyDescent="0.25">
      <c r="A69" s="65"/>
      <c r="B69" s="66"/>
      <c r="C69" s="66"/>
      <c r="D69" s="27" cm="1">
        <f t="array" ref="D69">IF(I69="---","---",SumHH((I69,L69),(M69,P69)))</f>
        <v>83.621527777777786</v>
      </c>
      <c r="E69" s="23" t="str">
        <f t="shared" si="2"/>
        <v>---</v>
      </c>
      <c r="F69" s="25" t="str">
        <f>IF(G69="DD",('Item Usage'!$D$101+L69)-(P69+M69),"---")</f>
        <v>---</v>
      </c>
      <c r="G69" s="42" t="s">
        <v>28</v>
      </c>
      <c r="H69" s="42" t="s">
        <v>29</v>
      </c>
      <c r="I69" s="27">
        <f>_xlfn.XLOOKUP(G69,'Item Usage'!$B$59:$B$65,'Item Usage'!$D$59:$D$65,"---",0,1)</f>
        <v>83.773611111111123</v>
      </c>
      <c r="J69" s="23" t="str">
        <f>_xlfn.XLOOKUP(G69,'Item Usage'!$B$70:$B$100,'Item Usage'!$D$70:$D$100,"---",0,1)</f>
        <v>---</v>
      </c>
      <c r="K69" s="42" t="s">
        <v>492</v>
      </c>
      <c r="L69" s="27">
        <v>4.0145833333333334</v>
      </c>
      <c r="M69" s="27">
        <v>0</v>
      </c>
      <c r="N69" s="4"/>
      <c r="O69" s="42" t="s">
        <v>101</v>
      </c>
      <c r="P69" s="27">
        <v>4.166666666666667</v>
      </c>
      <c r="Q69" s="63" t="s">
        <v>220</v>
      </c>
      <c r="R69" s="42">
        <v>0</v>
      </c>
      <c r="S69" s="63" t="s">
        <v>124</v>
      </c>
      <c r="T69" s="63" t="s">
        <v>221</v>
      </c>
      <c r="U69" s="42" t="s">
        <v>505</v>
      </c>
      <c r="V69" s="63" t="s">
        <v>105</v>
      </c>
      <c r="W69" s="58">
        <v>7200003</v>
      </c>
      <c r="X69" s="42">
        <v>64643</v>
      </c>
      <c r="Y69" s="42" t="s">
        <v>326</v>
      </c>
      <c r="Z69" s="27">
        <v>3.75</v>
      </c>
    </row>
    <row r="70" spans="1:26" x14ac:dyDescent="0.25">
      <c r="A70" s="65"/>
      <c r="B70" s="66"/>
      <c r="C70" s="66"/>
      <c r="D70" s="27" cm="1">
        <f t="array" ref="D70">IF(I70="---","---",SumHH((I70,L70),(M70,P70)))</f>
        <v>83.621527777777786</v>
      </c>
      <c r="E70" s="23" t="str">
        <f t="shared" si="2"/>
        <v>---</v>
      </c>
      <c r="F70" s="25" t="str">
        <f>IF(G70="DD",('Item Usage'!$D$101+L70)-(P70+M70),"---")</f>
        <v>---</v>
      </c>
      <c r="G70" s="42" t="s">
        <v>28</v>
      </c>
      <c r="H70" s="42" t="s">
        <v>29</v>
      </c>
      <c r="I70" s="27">
        <f>_xlfn.XLOOKUP(G70,'Item Usage'!$B$59:$B$65,'Item Usage'!$D$59:$D$65,"---",0,1)</f>
        <v>83.773611111111123</v>
      </c>
      <c r="J70" s="23" t="str">
        <f>_xlfn.XLOOKUP(G70,'Item Usage'!$B$70:$B$100,'Item Usage'!$D$70:$D$100,"---",0,1)</f>
        <v>---</v>
      </c>
      <c r="K70" s="42" t="s">
        <v>492</v>
      </c>
      <c r="L70" s="27">
        <v>4.0145833333333334</v>
      </c>
      <c r="M70" s="27">
        <v>0</v>
      </c>
      <c r="N70" s="4"/>
      <c r="O70" s="42" t="s">
        <v>101</v>
      </c>
      <c r="P70" s="27">
        <v>4.166666666666667</v>
      </c>
      <c r="Q70" s="63" t="s">
        <v>404</v>
      </c>
      <c r="R70" s="42">
        <v>0</v>
      </c>
      <c r="S70" s="63"/>
      <c r="T70" s="63" t="s">
        <v>405</v>
      </c>
      <c r="U70" s="42" t="s">
        <v>492</v>
      </c>
      <c r="V70" s="63" t="s">
        <v>113</v>
      </c>
      <c r="W70" s="58">
        <v>1810001</v>
      </c>
      <c r="X70" s="42" t="s">
        <v>115</v>
      </c>
      <c r="Y70" s="42" t="s">
        <v>327</v>
      </c>
      <c r="Z70" s="27">
        <v>3.75</v>
      </c>
    </row>
    <row r="71" spans="1:26" x14ac:dyDescent="0.25">
      <c r="A71" s="65"/>
      <c r="B71" s="66"/>
      <c r="C71" s="66"/>
      <c r="D71" s="27" cm="1">
        <f t="array" ref="D71">IF(I71="---","---",SumHH((I71,L71),(M71,P71)))</f>
        <v>83.621527777777786</v>
      </c>
      <c r="E71" s="23" t="str">
        <f t="shared" si="2"/>
        <v>---</v>
      </c>
      <c r="F71" s="25" t="str">
        <f>IF(G71="DD",('Item Usage'!$D$101+L71)-(P71+M71),"---")</f>
        <v>---</v>
      </c>
      <c r="G71" s="42" t="s">
        <v>28</v>
      </c>
      <c r="H71" s="42" t="s">
        <v>29</v>
      </c>
      <c r="I71" s="27">
        <f>_xlfn.XLOOKUP(G71,'Item Usage'!$B$59:$B$65,'Item Usage'!$D$59:$D$65,"---",0,1)</f>
        <v>83.773611111111123</v>
      </c>
      <c r="J71" s="23" t="str">
        <f>_xlfn.XLOOKUP(G71,'Item Usage'!$B$70:$B$100,'Item Usage'!$D$70:$D$100,"---",0,1)</f>
        <v>---</v>
      </c>
      <c r="K71" s="42" t="s">
        <v>492</v>
      </c>
      <c r="L71" s="27">
        <v>4.0145833333333334</v>
      </c>
      <c r="M71" s="27">
        <v>0</v>
      </c>
      <c r="N71" s="4"/>
      <c r="O71" s="42" t="s">
        <v>101</v>
      </c>
      <c r="P71" s="27">
        <v>4.166666666666667</v>
      </c>
      <c r="Q71" s="63" t="s">
        <v>172</v>
      </c>
      <c r="R71" s="42">
        <v>0</v>
      </c>
      <c r="S71" s="63"/>
      <c r="T71" s="63" t="s">
        <v>173</v>
      </c>
      <c r="U71" s="42" t="s">
        <v>492</v>
      </c>
      <c r="V71" s="63" t="s">
        <v>113</v>
      </c>
      <c r="W71" s="58">
        <v>2810001</v>
      </c>
      <c r="X71" s="42" t="s">
        <v>115</v>
      </c>
      <c r="Y71" s="42" t="s">
        <v>327</v>
      </c>
      <c r="Z71" s="27">
        <v>3.9583333333333335</v>
      </c>
    </row>
    <row r="72" spans="1:26" x14ac:dyDescent="0.25">
      <c r="A72" s="65"/>
      <c r="B72" s="66"/>
      <c r="C72" s="66"/>
      <c r="D72" s="27" cm="1">
        <f t="array" ref="D72">IF(I72="---","---",SumHH((I72,L72),(M72,P72)))</f>
        <v>79.69861111111112</v>
      </c>
      <c r="E72" s="23" t="str">
        <f t="shared" si="2"/>
        <v>---</v>
      </c>
      <c r="F72" s="25" t="str">
        <f>IF(G72="DD",('Item Usage'!$D$101+L72)-(P72+M72),"---")</f>
        <v>---</v>
      </c>
      <c r="G72" s="42" t="s">
        <v>28</v>
      </c>
      <c r="H72" s="42" t="s">
        <v>29</v>
      </c>
      <c r="I72" s="27">
        <f>_xlfn.XLOOKUP(G72,'Item Usage'!$B$59:$B$65,'Item Usage'!$D$59:$D$65,"---",0,1)</f>
        <v>83.773611111111123</v>
      </c>
      <c r="J72" s="23" t="str">
        <f>_xlfn.XLOOKUP(G72,'Item Usage'!$B$70:$B$100,'Item Usage'!$D$70:$D$100,"---",0,1)</f>
        <v>---</v>
      </c>
      <c r="K72" s="42" t="s">
        <v>492</v>
      </c>
      <c r="L72" s="27">
        <v>4.2583333333333337</v>
      </c>
      <c r="M72" s="27">
        <v>0</v>
      </c>
      <c r="N72" s="4"/>
      <c r="O72" s="42" t="s">
        <v>101</v>
      </c>
      <c r="P72" s="27">
        <v>8.3333333333333339</v>
      </c>
      <c r="Q72" s="63" t="s">
        <v>390</v>
      </c>
      <c r="R72" s="42">
        <v>0</v>
      </c>
      <c r="S72" s="63"/>
      <c r="T72" s="63" t="s">
        <v>391</v>
      </c>
      <c r="U72" s="42" t="s">
        <v>492</v>
      </c>
      <c r="V72" s="63" t="s">
        <v>113</v>
      </c>
      <c r="W72" s="58">
        <v>3220010</v>
      </c>
      <c r="X72" s="42" t="s">
        <v>115</v>
      </c>
      <c r="Y72" s="42" t="s">
        <v>327</v>
      </c>
      <c r="Z72" s="27">
        <v>7.5</v>
      </c>
    </row>
    <row r="73" spans="1:26" x14ac:dyDescent="0.25">
      <c r="A73" s="65"/>
      <c r="B73" s="66"/>
      <c r="C73" s="66"/>
      <c r="D73" s="27" t="str" cm="1">
        <f t="array" ref="D73">IF(I73="---","---",SumHH((I73,L73),(M73,P73)))</f>
        <v>---</v>
      </c>
      <c r="E73" s="23">
        <f t="shared" si="2"/>
        <v>0</v>
      </c>
      <c r="F73" s="25" t="str">
        <f>IF(G73="DD",('Item Usage'!$D$101+L73)-(P73+M73),"---")</f>
        <v>---</v>
      </c>
      <c r="G73" s="42" t="s">
        <v>55</v>
      </c>
      <c r="H73" s="42" t="s">
        <v>54</v>
      </c>
      <c r="I73" s="27" t="str">
        <f>_xlfn.XLOOKUP(G73,'Item Usage'!$B$59:$B$65,'Item Usage'!$D$59:$D$65,"---",0,1)</f>
        <v>---</v>
      </c>
      <c r="J73" s="23">
        <f>_xlfn.XLOOKUP(G73,'Item Usage'!$B$70:$B$100,'Item Usage'!$D$70:$D$100,"---",0,1)</f>
        <v>3.36</v>
      </c>
      <c r="K73" s="42" t="s">
        <v>492</v>
      </c>
      <c r="L73" s="23">
        <v>116.64</v>
      </c>
      <c r="M73" s="23">
        <v>0</v>
      </c>
      <c r="N73" s="4"/>
      <c r="O73" s="42" t="s">
        <v>101</v>
      </c>
      <c r="P73" s="23">
        <v>120</v>
      </c>
      <c r="Q73" s="63" t="s">
        <v>245</v>
      </c>
      <c r="R73" s="42">
        <v>0</v>
      </c>
      <c r="S73" s="63"/>
      <c r="T73" s="63" t="s">
        <v>246</v>
      </c>
      <c r="U73" s="42" t="s">
        <v>495</v>
      </c>
      <c r="V73" s="63" t="s">
        <v>105</v>
      </c>
      <c r="W73" s="58" t="s">
        <v>247</v>
      </c>
      <c r="X73" s="42">
        <v>64643</v>
      </c>
      <c r="Y73" s="42" t="s">
        <v>326</v>
      </c>
      <c r="Z73" s="23">
        <v>110</v>
      </c>
    </row>
    <row r="74" spans="1:26" x14ac:dyDescent="0.25">
      <c r="A74" s="65"/>
      <c r="B74" s="66"/>
      <c r="C74" s="66"/>
      <c r="D74" s="27" t="str" cm="1">
        <f t="array" ref="D74">IF(I74="---","---",SumHH((I74,L74),(M74,P74)))</f>
        <v>---</v>
      </c>
      <c r="E74" s="23">
        <f t="shared" si="2"/>
        <v>0</v>
      </c>
      <c r="F74" s="25" t="str">
        <f>IF(G74="DD",('Item Usage'!$D$101+L74)-(P74+M74),"---")</f>
        <v>---</v>
      </c>
      <c r="G74" s="42" t="s">
        <v>53</v>
      </c>
      <c r="H74" s="42" t="s">
        <v>54</v>
      </c>
      <c r="I74" s="27" t="str">
        <f>_xlfn.XLOOKUP(G74,'Item Usage'!$B$59:$B$65,'Item Usage'!$D$59:$D$65,"---",0,1)</f>
        <v>---</v>
      </c>
      <c r="J74" s="23">
        <f>_xlfn.XLOOKUP(G74,'Item Usage'!$B$70:$B$100,'Item Usage'!$D$70:$D$100,"---",0,1)</f>
        <v>0</v>
      </c>
      <c r="K74" s="42" t="s">
        <v>492</v>
      </c>
      <c r="L74" s="23">
        <v>480</v>
      </c>
      <c r="M74" s="23">
        <v>0</v>
      </c>
      <c r="N74" s="4"/>
      <c r="O74" s="42" t="s">
        <v>101</v>
      </c>
      <c r="P74" s="23">
        <v>480</v>
      </c>
      <c r="Q74" s="63" t="s">
        <v>250</v>
      </c>
      <c r="R74" s="42">
        <v>0</v>
      </c>
      <c r="S74" s="63"/>
      <c r="T74" s="63" t="s">
        <v>251</v>
      </c>
      <c r="U74" s="42" t="s">
        <v>495</v>
      </c>
      <c r="V74" s="63" t="s">
        <v>105</v>
      </c>
      <c r="W74" s="58" t="s">
        <v>252</v>
      </c>
      <c r="X74" s="42">
        <v>64643</v>
      </c>
      <c r="Y74" s="42" t="s">
        <v>326</v>
      </c>
      <c r="Z74" s="23">
        <v>460</v>
      </c>
    </row>
    <row r="75" spans="1:26" x14ac:dyDescent="0.25">
      <c r="A75" s="65"/>
      <c r="B75" s="66"/>
      <c r="C75" s="66"/>
      <c r="D75" s="27" t="str" cm="1">
        <f t="array" ref="D75">IF(I75="---","---",SumHH((I75,L75),(M75,P75)))</f>
        <v>---</v>
      </c>
      <c r="E75" s="23">
        <f t="shared" si="2"/>
        <v>0</v>
      </c>
      <c r="F75" s="25" t="str">
        <f>IF(G75="DD",('Item Usage'!$D$101+L75)-(P75+M75),"---")</f>
        <v>---</v>
      </c>
      <c r="G75" s="42" t="s">
        <v>64</v>
      </c>
      <c r="H75" s="42" t="s">
        <v>63</v>
      </c>
      <c r="I75" s="27" t="str">
        <f>_xlfn.XLOOKUP(G75,'Item Usage'!$B$59:$B$65,'Item Usage'!$D$59:$D$65,"---",0,1)</f>
        <v>---</v>
      </c>
      <c r="J75" s="23">
        <f>_xlfn.XLOOKUP(G75,'Item Usage'!$B$70:$B$100,'Item Usage'!$D$70:$D$100,"---",0,1)</f>
        <v>0</v>
      </c>
      <c r="K75" s="42" t="s">
        <v>492</v>
      </c>
      <c r="L75" s="23">
        <v>120</v>
      </c>
      <c r="M75" s="23">
        <v>0</v>
      </c>
      <c r="N75" s="4"/>
      <c r="O75" s="42" t="s">
        <v>101</v>
      </c>
      <c r="P75" s="23">
        <v>120</v>
      </c>
      <c r="Q75" s="63" t="s">
        <v>245</v>
      </c>
      <c r="R75" s="42">
        <v>0</v>
      </c>
      <c r="S75" s="63"/>
      <c r="T75" s="63" t="s">
        <v>246</v>
      </c>
      <c r="U75" s="42" t="s">
        <v>505</v>
      </c>
      <c r="V75" s="63" t="s">
        <v>105</v>
      </c>
      <c r="W75" s="58" t="s">
        <v>247</v>
      </c>
      <c r="X75" s="42">
        <v>64643</v>
      </c>
      <c r="Y75" s="42" t="s">
        <v>326</v>
      </c>
      <c r="Z75" s="23">
        <v>110</v>
      </c>
    </row>
    <row r="76" spans="1:26" x14ac:dyDescent="0.25">
      <c r="A76" s="65"/>
      <c r="B76" s="66"/>
      <c r="C76" s="66"/>
      <c r="D76" s="27" t="str" cm="1">
        <f t="array" ref="D76">IF(I76="---","---",SumHH((I76,L76),(M76,P76)))</f>
        <v>---</v>
      </c>
      <c r="E76" s="23">
        <f t="shared" si="2"/>
        <v>0</v>
      </c>
      <c r="F76" s="25" t="str">
        <f>IF(G76="DD",('Item Usage'!$D$101+L76)-(P76+M76),"---")</f>
        <v>---</v>
      </c>
      <c r="G76" s="42" t="s">
        <v>62</v>
      </c>
      <c r="H76" s="42" t="s">
        <v>63</v>
      </c>
      <c r="I76" s="27" t="str">
        <f>_xlfn.XLOOKUP(G76,'Item Usage'!$B$59:$B$65,'Item Usage'!$D$59:$D$65,"---",0,1)</f>
        <v>---</v>
      </c>
      <c r="J76" s="23">
        <f>_xlfn.XLOOKUP(G76,'Item Usage'!$B$70:$B$100,'Item Usage'!$D$70:$D$100,"---",0,1)</f>
        <v>0</v>
      </c>
      <c r="K76" s="42" t="s">
        <v>492</v>
      </c>
      <c r="L76" s="23">
        <v>480</v>
      </c>
      <c r="M76" s="23">
        <v>0</v>
      </c>
      <c r="N76" s="4"/>
      <c r="O76" s="42" t="s">
        <v>101</v>
      </c>
      <c r="P76" s="23">
        <v>480</v>
      </c>
      <c r="Q76" s="63" t="s">
        <v>250</v>
      </c>
      <c r="R76" s="42">
        <v>0</v>
      </c>
      <c r="S76" s="63"/>
      <c r="T76" s="63" t="s">
        <v>251</v>
      </c>
      <c r="U76" s="42" t="s">
        <v>505</v>
      </c>
      <c r="V76" s="63" t="s">
        <v>105</v>
      </c>
      <c r="W76" s="58" t="s">
        <v>252</v>
      </c>
      <c r="X76" s="42">
        <v>64643</v>
      </c>
      <c r="Y76" s="42" t="s">
        <v>326</v>
      </c>
      <c r="Z76" s="23">
        <v>460</v>
      </c>
    </row>
    <row r="77" spans="1:26" x14ac:dyDescent="0.25">
      <c r="A77" s="65"/>
      <c r="B77" s="66"/>
      <c r="C77" s="66"/>
      <c r="D77" s="27" t="str" cm="1">
        <f t="array" ref="D77">IF(I77="---","---",SumHH((I77,L77),(M77,P77)))</f>
        <v>---</v>
      </c>
      <c r="E77" s="23">
        <f t="shared" si="2"/>
        <v>761</v>
      </c>
      <c r="F77" s="25" t="str">
        <f>IF(G77="DD",('Item Usage'!$D$101+L77)-(P77+M77),"---")</f>
        <v>---</v>
      </c>
      <c r="G77" s="42" t="s">
        <v>18</v>
      </c>
      <c r="H77" s="42" t="s">
        <v>19</v>
      </c>
      <c r="I77" s="27" t="str">
        <f>_xlfn.XLOOKUP(G77,'Item Usage'!$B$59:$B$65,'Item Usage'!$D$59:$D$65,"---",0,1)</f>
        <v>---</v>
      </c>
      <c r="J77" s="23">
        <f>_xlfn.XLOOKUP(G77,'Item Usage'!$B$70:$B$100,'Item Usage'!$D$70:$D$100,"---",0,1)</f>
        <v>1300</v>
      </c>
      <c r="K77" s="42" t="s">
        <v>492</v>
      </c>
      <c r="L77" s="23">
        <v>9461</v>
      </c>
      <c r="M77" s="23">
        <v>0</v>
      </c>
      <c r="N77" s="4"/>
      <c r="O77" s="42" t="s">
        <v>101</v>
      </c>
      <c r="P77" s="23">
        <v>10000</v>
      </c>
      <c r="Q77" s="63" t="s">
        <v>256</v>
      </c>
      <c r="R77" s="42">
        <v>0</v>
      </c>
      <c r="S77" s="63"/>
      <c r="T77" s="63" t="s">
        <v>257</v>
      </c>
      <c r="U77" s="42" t="s">
        <v>505</v>
      </c>
      <c r="V77" s="63" t="s">
        <v>105</v>
      </c>
      <c r="W77" s="58" t="s">
        <v>258</v>
      </c>
      <c r="X77" s="42">
        <v>64643</v>
      </c>
      <c r="Y77" s="42" t="s">
        <v>326</v>
      </c>
      <c r="Z77" s="23">
        <v>10000</v>
      </c>
    </row>
    <row r="78" spans="1:26" x14ac:dyDescent="0.25">
      <c r="A78" s="65"/>
      <c r="B78" s="66"/>
      <c r="C78" s="66"/>
      <c r="D78" s="27" t="str" cm="1">
        <f t="array" ref="D78">IF(I78="---","---",SumHH((I78,L78),(M78,P78)))</f>
        <v>---</v>
      </c>
      <c r="E78" s="23">
        <f t="shared" si="2"/>
        <v>1064</v>
      </c>
      <c r="F78" s="25" t="str">
        <f>IF(G78="DD",('Item Usage'!$D$101+L78)-(P78+M78),"---")</f>
        <v>---</v>
      </c>
      <c r="G78" s="42" t="s">
        <v>18</v>
      </c>
      <c r="H78" s="42" t="s">
        <v>19</v>
      </c>
      <c r="I78" s="27" t="str">
        <f>_xlfn.XLOOKUP(G78,'Item Usage'!$B$59:$B$65,'Item Usage'!$D$59:$D$65,"---",0,1)</f>
        <v>---</v>
      </c>
      <c r="J78" s="23">
        <f>_xlfn.XLOOKUP(G78,'Item Usage'!$B$70:$B$100,'Item Usage'!$D$70:$D$100,"---",0,1)</f>
        <v>1300</v>
      </c>
      <c r="K78" s="42" t="s">
        <v>492</v>
      </c>
      <c r="L78" s="23">
        <v>9764</v>
      </c>
      <c r="M78" s="23">
        <v>0</v>
      </c>
      <c r="N78" s="4"/>
      <c r="O78" s="42" t="s">
        <v>101</v>
      </c>
      <c r="P78" s="23">
        <v>10000</v>
      </c>
      <c r="Q78" s="63" t="s">
        <v>256</v>
      </c>
      <c r="R78" s="42">
        <v>0</v>
      </c>
      <c r="S78" s="63"/>
      <c r="T78" s="63" t="s">
        <v>257</v>
      </c>
      <c r="U78" s="42" t="s">
        <v>495</v>
      </c>
      <c r="V78" s="63" t="s">
        <v>105</v>
      </c>
      <c r="W78" s="58" t="s">
        <v>258</v>
      </c>
      <c r="X78" s="42">
        <v>64643</v>
      </c>
      <c r="Y78" s="42" t="s">
        <v>326</v>
      </c>
      <c r="Z78" s="23">
        <v>10000</v>
      </c>
    </row>
    <row r="79" spans="1:26" x14ac:dyDescent="0.25">
      <c r="A79" s="65"/>
      <c r="B79" s="66"/>
      <c r="C79" s="66"/>
      <c r="D79" s="27" t="str" cm="1">
        <f t="array" ref="D79">IF(I79="---","---",SumHH((I79,L79),(M79,P79)))</f>
        <v>---</v>
      </c>
      <c r="E79" s="23">
        <f t="shared" si="2"/>
        <v>-10</v>
      </c>
      <c r="F79" s="25" t="str">
        <f>IF(G79="DD",('Item Usage'!$D$101+L79)-(P79+M79),"---")</f>
        <v>---</v>
      </c>
      <c r="G79" s="42" t="s">
        <v>75</v>
      </c>
      <c r="H79" s="42" t="s">
        <v>76</v>
      </c>
      <c r="I79" s="27" t="str">
        <f>_xlfn.XLOOKUP(G79,'Item Usage'!$B$59:$B$65,'Item Usage'!$D$59:$D$65,"---",0,1)</f>
        <v>---</v>
      </c>
      <c r="J79" s="23">
        <f>_xlfn.XLOOKUP(G79,'Item Usage'!$B$70:$B$100,'Item Usage'!$D$70:$D$100,"---",0,1)</f>
        <v>0</v>
      </c>
      <c r="K79" s="42" t="s">
        <v>492</v>
      </c>
      <c r="L79" s="23">
        <v>0</v>
      </c>
      <c r="M79" s="23">
        <v>0</v>
      </c>
      <c r="N79" s="4"/>
      <c r="O79" s="42" t="s">
        <v>218</v>
      </c>
      <c r="P79" s="23">
        <v>10</v>
      </c>
      <c r="Q79" s="63" t="s">
        <v>590</v>
      </c>
      <c r="R79" s="42">
        <v>0</v>
      </c>
      <c r="S79" s="63" t="s">
        <v>593</v>
      </c>
      <c r="T79" s="63" t="s">
        <v>591</v>
      </c>
      <c r="U79" s="42">
        <v>406341</v>
      </c>
      <c r="V79" s="63" t="s">
        <v>594</v>
      </c>
      <c r="W79" s="58" t="s">
        <v>219</v>
      </c>
      <c r="X79" s="42" t="s">
        <v>115</v>
      </c>
      <c r="Y79" s="42" t="s">
        <v>328</v>
      </c>
      <c r="Z79" s="23">
        <v>9</v>
      </c>
    </row>
    <row r="80" spans="1:26" x14ac:dyDescent="0.25">
      <c r="A80" s="65"/>
      <c r="B80" s="66"/>
      <c r="C80" s="66"/>
      <c r="D80" s="27" t="str" cm="1">
        <f t="array" ref="D80">IF(I80="---","---",SumHH((I80,L80),(M80,P80)))</f>
        <v>---</v>
      </c>
      <c r="E80" s="23">
        <f t="shared" si="2"/>
        <v>-10</v>
      </c>
      <c r="F80" s="25" t="str">
        <f>IF(G80="DD",('Item Usage'!$D$101+L80)-(P80+M80),"---")</f>
        <v>---</v>
      </c>
      <c r="G80" s="42" t="s">
        <v>75</v>
      </c>
      <c r="H80" s="42" t="s">
        <v>76</v>
      </c>
      <c r="I80" s="27" t="str">
        <f>_xlfn.XLOOKUP(G80,'Item Usage'!$B$59:$B$65,'Item Usage'!$D$59:$D$65,"---",0,1)</f>
        <v>---</v>
      </c>
      <c r="J80" s="23">
        <f>_xlfn.XLOOKUP(G80,'Item Usage'!$B$70:$B$100,'Item Usage'!$D$70:$D$100,"---",0,1)</f>
        <v>0</v>
      </c>
      <c r="K80" s="42" t="s">
        <v>492</v>
      </c>
      <c r="L80" s="23">
        <v>0</v>
      </c>
      <c r="M80" s="23">
        <v>0</v>
      </c>
      <c r="N80" s="4"/>
      <c r="O80" s="42" t="s">
        <v>218</v>
      </c>
      <c r="P80" s="23">
        <v>10</v>
      </c>
      <c r="Q80" s="63" t="s">
        <v>595</v>
      </c>
      <c r="R80" s="42">
        <v>0</v>
      </c>
      <c r="S80" s="63" t="s">
        <v>598</v>
      </c>
      <c r="T80" s="63" t="s">
        <v>596</v>
      </c>
      <c r="U80" s="42">
        <v>411915</v>
      </c>
      <c r="V80" s="63" t="s">
        <v>599</v>
      </c>
      <c r="W80" s="58" t="s">
        <v>219</v>
      </c>
      <c r="X80" s="42" t="s">
        <v>115</v>
      </c>
      <c r="Y80" s="42" t="s">
        <v>328</v>
      </c>
      <c r="Z80" s="23">
        <v>9</v>
      </c>
    </row>
    <row r="81" spans="1:26" x14ac:dyDescent="0.25">
      <c r="A81" s="65"/>
      <c r="B81" s="66"/>
      <c r="C81" s="66"/>
      <c r="D81" s="27" t="str" cm="1">
        <f t="array" ref="D81">IF(I81="---","---",SumHH((I81,L81),(M81,P81)))</f>
        <v>---</v>
      </c>
      <c r="E81" s="23">
        <f t="shared" si="2"/>
        <v>-10</v>
      </c>
      <c r="F81" s="25" t="str">
        <f>IF(G81="DD",('Item Usage'!$D$101+L81)-(P81+M81),"---")</f>
        <v>---</v>
      </c>
      <c r="G81" s="42" t="s">
        <v>75</v>
      </c>
      <c r="H81" s="42" t="s">
        <v>76</v>
      </c>
      <c r="I81" s="27" t="str">
        <f>_xlfn.XLOOKUP(G81,'Item Usage'!$B$59:$B$65,'Item Usage'!$D$59:$D$65,"---",0,1)</f>
        <v>---</v>
      </c>
      <c r="J81" s="23">
        <f>_xlfn.XLOOKUP(G81,'Item Usage'!$B$70:$B$100,'Item Usage'!$D$70:$D$100,"---",0,1)</f>
        <v>0</v>
      </c>
      <c r="K81" s="42" t="s">
        <v>492</v>
      </c>
      <c r="L81" s="23">
        <v>0</v>
      </c>
      <c r="M81" s="23">
        <v>0</v>
      </c>
      <c r="N81" s="4"/>
      <c r="O81" s="42" t="s">
        <v>218</v>
      </c>
      <c r="P81" s="23">
        <v>10</v>
      </c>
      <c r="Q81" s="63" t="s">
        <v>600</v>
      </c>
      <c r="R81" s="42">
        <v>0</v>
      </c>
      <c r="S81" s="63"/>
      <c r="T81" s="63" t="s">
        <v>601</v>
      </c>
      <c r="U81" s="42">
        <v>413081</v>
      </c>
      <c r="V81" s="63" t="s">
        <v>603</v>
      </c>
      <c r="W81" s="58" t="s">
        <v>219</v>
      </c>
      <c r="X81" s="42" t="s">
        <v>115</v>
      </c>
      <c r="Y81" s="42" t="s">
        <v>328</v>
      </c>
      <c r="Z81" s="23">
        <v>9</v>
      </c>
    </row>
    <row r="82" spans="1:26" x14ac:dyDescent="0.25">
      <c r="A82" s="65"/>
      <c r="B82" s="66"/>
      <c r="C82" s="66"/>
      <c r="D82" s="27" t="str" cm="1">
        <f t="array" ref="D82">IF(I82="---","---",SumHH((I82,L82),(M82,P82)))</f>
        <v>---</v>
      </c>
      <c r="E82" s="23">
        <f t="shared" si="2"/>
        <v>-3</v>
      </c>
      <c r="F82" s="25" t="str">
        <f>IF(G82="DD",('Item Usage'!$D$101+L82)-(P82+M82),"---")</f>
        <v>---</v>
      </c>
      <c r="G82" s="42" t="s">
        <v>75</v>
      </c>
      <c r="H82" s="42" t="s">
        <v>76</v>
      </c>
      <c r="I82" s="27" t="str">
        <f>_xlfn.XLOOKUP(G82,'Item Usage'!$B$59:$B$65,'Item Usage'!$D$59:$D$65,"---",0,1)</f>
        <v>---</v>
      </c>
      <c r="J82" s="23">
        <f>_xlfn.XLOOKUP(G82,'Item Usage'!$B$70:$B$100,'Item Usage'!$D$70:$D$100,"---",0,1)</f>
        <v>0</v>
      </c>
      <c r="K82" s="42" t="s">
        <v>492</v>
      </c>
      <c r="L82" s="23">
        <v>7</v>
      </c>
      <c r="M82" s="23">
        <v>0</v>
      </c>
      <c r="N82" s="4"/>
      <c r="O82" s="42" t="s">
        <v>218</v>
      </c>
      <c r="P82" s="23">
        <v>10</v>
      </c>
      <c r="Q82" s="63" t="s">
        <v>604</v>
      </c>
      <c r="R82" s="42">
        <v>0</v>
      </c>
      <c r="S82" s="63"/>
      <c r="T82" s="63" t="s">
        <v>605</v>
      </c>
      <c r="U82" s="42">
        <v>662721</v>
      </c>
      <c r="V82" s="63" t="s">
        <v>607</v>
      </c>
      <c r="W82" s="58" t="s">
        <v>219</v>
      </c>
      <c r="X82" s="42" t="s">
        <v>115</v>
      </c>
      <c r="Y82" s="42" t="s">
        <v>328</v>
      </c>
      <c r="Z82" s="23">
        <v>9</v>
      </c>
    </row>
    <row r="83" spans="1:26" x14ac:dyDescent="0.25">
      <c r="A83" s="65"/>
      <c r="B83" s="66"/>
      <c r="C83" s="66"/>
      <c r="D83" s="27" t="str" cm="1">
        <f t="array" ref="D83">IF(I83="---","---",SumHH((I83,L83),(M83,P83)))</f>
        <v>---</v>
      </c>
      <c r="E83" s="23" t="str">
        <f t="shared" si="2"/>
        <v>---</v>
      </c>
      <c r="F83" s="25">
        <f ca="1">IF(G83="DD",('Item Usage'!$D$101+L83)-(P83+M83),"---")</f>
        <v>44518</v>
      </c>
      <c r="G83" s="42" t="s">
        <v>79</v>
      </c>
      <c r="H83" s="42" t="s">
        <v>259</v>
      </c>
      <c r="I83" s="27" t="str">
        <f>_xlfn.XLOOKUP(G83,'Item Usage'!$B$59:$B$65,'Item Usage'!$D$59:$D$65,"---",0,1)</f>
        <v>---</v>
      </c>
      <c r="J83" s="23" t="str">
        <f>_xlfn.XLOOKUP(G83,'Item Usage'!$B$70:$B$100,'Item Usage'!$D$70:$D$100,"---",0,1)</f>
        <v>---</v>
      </c>
      <c r="K83" s="42" t="s">
        <v>492</v>
      </c>
      <c r="L83" s="23">
        <v>11</v>
      </c>
      <c r="M83" s="23">
        <v>0</v>
      </c>
      <c r="N83" s="4"/>
      <c r="O83" s="42" t="s">
        <v>218</v>
      </c>
      <c r="P83" s="23">
        <v>0</v>
      </c>
      <c r="Q83" s="63" t="s">
        <v>609</v>
      </c>
      <c r="R83" s="42">
        <v>0</v>
      </c>
      <c r="S83" s="63"/>
      <c r="T83" s="63" t="s">
        <v>610</v>
      </c>
      <c r="U83" s="42">
        <v>42682</v>
      </c>
      <c r="V83" s="63" t="s">
        <v>612</v>
      </c>
      <c r="W83" s="58" t="s">
        <v>219</v>
      </c>
      <c r="X83" s="42" t="s">
        <v>613</v>
      </c>
      <c r="Y83" s="42" t="s">
        <v>328</v>
      </c>
      <c r="Z83" s="23">
        <v>0</v>
      </c>
    </row>
    <row r="84" spans="1:26" x14ac:dyDescent="0.25">
      <c r="A84" s="65"/>
      <c r="B84" s="66"/>
      <c r="C84" s="66"/>
      <c r="D84" s="27" t="str" cm="1">
        <f t="array" ref="D84">IF(I84="---","---",SumHH((I84,L84),(M84,P84)))</f>
        <v>---</v>
      </c>
      <c r="E84" s="23" t="str">
        <f t="shared" si="2"/>
        <v>---</v>
      </c>
      <c r="F84" s="25">
        <f ca="1">IF(G84="DD",('Item Usage'!$D$101+L84)-(P84+M84),"---")</f>
        <v>44494</v>
      </c>
      <c r="G84" s="42" t="s">
        <v>79</v>
      </c>
      <c r="H84" s="42" t="s">
        <v>259</v>
      </c>
      <c r="I84" s="27" t="str">
        <f>_xlfn.XLOOKUP(G84,'Item Usage'!$B$59:$B$65,'Item Usage'!$D$59:$D$65,"---",0,1)</f>
        <v>---</v>
      </c>
      <c r="J84" s="23" t="str">
        <f>_xlfn.XLOOKUP(G84,'Item Usage'!$B$70:$B$100,'Item Usage'!$D$70:$D$100,"---",0,1)</f>
        <v>---</v>
      </c>
      <c r="K84" s="42" t="s">
        <v>492</v>
      </c>
      <c r="L84" s="23">
        <v>15</v>
      </c>
      <c r="M84" s="23">
        <v>0</v>
      </c>
      <c r="N84" s="4"/>
      <c r="O84" s="42" t="s">
        <v>167</v>
      </c>
      <c r="P84" s="23">
        <v>28</v>
      </c>
      <c r="Q84" s="63" t="s">
        <v>615</v>
      </c>
      <c r="R84" s="42">
        <v>0</v>
      </c>
      <c r="S84" s="63"/>
      <c r="T84" s="63" t="s">
        <v>616</v>
      </c>
      <c r="U84" s="42" t="s">
        <v>492</v>
      </c>
      <c r="V84" s="63" t="s">
        <v>113</v>
      </c>
      <c r="W84" s="58" t="s">
        <v>617</v>
      </c>
      <c r="X84" s="42" t="s">
        <v>115</v>
      </c>
      <c r="Y84" s="42" t="s">
        <v>327</v>
      </c>
      <c r="Z84" s="23">
        <v>25</v>
      </c>
    </row>
    <row r="85" spans="1:26" x14ac:dyDescent="0.25">
      <c r="A85" s="65"/>
      <c r="B85" s="66"/>
      <c r="C85" s="66"/>
      <c r="D85" s="27" t="str" cm="1">
        <f t="array" ref="D85">IF(I85="---","---",SumHH((I85,L85),(M85,P85)))</f>
        <v>---</v>
      </c>
      <c r="E85" s="23" t="str">
        <f t="shared" si="2"/>
        <v>---</v>
      </c>
      <c r="F85" s="25">
        <f ca="1">IF(G85="DD",('Item Usage'!$D$101+L85)-(P85+M85),"---")</f>
        <v>43796</v>
      </c>
      <c r="G85" s="42" t="s">
        <v>79</v>
      </c>
      <c r="H85" s="42" t="s">
        <v>259</v>
      </c>
      <c r="I85" s="27" t="str">
        <f>_xlfn.XLOOKUP(G85,'Item Usage'!$B$59:$B$65,'Item Usage'!$D$59:$D$65,"---",0,1)</f>
        <v>---</v>
      </c>
      <c r="J85" s="23" t="str">
        <f>_xlfn.XLOOKUP(G85,'Item Usage'!$B$70:$B$100,'Item Usage'!$D$70:$D$100,"---",0,1)</f>
        <v>---</v>
      </c>
      <c r="K85" s="42" t="s">
        <v>492</v>
      </c>
      <c r="L85" s="23">
        <v>17</v>
      </c>
      <c r="M85" s="23">
        <v>0</v>
      </c>
      <c r="N85" s="4"/>
      <c r="O85" s="42" t="s">
        <v>101</v>
      </c>
      <c r="P85" s="23">
        <v>728</v>
      </c>
      <c r="Q85" s="63" t="s">
        <v>618</v>
      </c>
      <c r="R85" s="42">
        <v>0</v>
      </c>
      <c r="S85" s="63"/>
      <c r="T85" s="63" t="s">
        <v>619</v>
      </c>
      <c r="U85" s="42" t="s">
        <v>492</v>
      </c>
      <c r="V85" s="63" t="s">
        <v>113</v>
      </c>
      <c r="W85" s="58">
        <v>2400001</v>
      </c>
      <c r="X85" s="42" t="s">
        <v>115</v>
      </c>
      <c r="Y85" s="42" t="s">
        <v>327</v>
      </c>
      <c r="Z85" s="23">
        <v>700</v>
      </c>
    </row>
    <row r="86" spans="1:26" x14ac:dyDescent="0.25">
      <c r="A86" s="65"/>
      <c r="B86" s="66"/>
      <c r="C86" s="66"/>
      <c r="D86" s="27" t="str" cm="1">
        <f t="array" ref="D86">IF(I86="---","---",SumHH((I86,L86),(M86,P86)))</f>
        <v>---</v>
      </c>
      <c r="E86" s="23" t="str">
        <f t="shared" si="2"/>
        <v>---</v>
      </c>
      <c r="F86" s="25">
        <f ca="1">IF(G86="DD",('Item Usage'!$D$101+L86)-(P86+M86),"---")</f>
        <v>43798</v>
      </c>
      <c r="G86" s="42" t="s">
        <v>79</v>
      </c>
      <c r="H86" s="42" t="s">
        <v>259</v>
      </c>
      <c r="I86" s="27" t="str">
        <f>_xlfn.XLOOKUP(G86,'Item Usage'!$B$59:$B$65,'Item Usage'!$D$59:$D$65,"---",0,1)</f>
        <v>---</v>
      </c>
      <c r="J86" s="23" t="str">
        <f>_xlfn.XLOOKUP(G86,'Item Usage'!$B$70:$B$100,'Item Usage'!$D$70:$D$100,"---",0,1)</f>
        <v>---</v>
      </c>
      <c r="K86" s="42" t="s">
        <v>492</v>
      </c>
      <c r="L86" s="23">
        <v>19</v>
      </c>
      <c r="M86" s="23">
        <v>0</v>
      </c>
      <c r="N86" s="4"/>
      <c r="O86" s="42" t="s">
        <v>101</v>
      </c>
      <c r="P86" s="23">
        <v>728</v>
      </c>
      <c r="Q86" s="63" t="s">
        <v>437</v>
      </c>
      <c r="R86" s="42">
        <v>0</v>
      </c>
      <c r="S86" s="63"/>
      <c r="T86" s="63" t="s">
        <v>438</v>
      </c>
      <c r="U86" s="42" t="s">
        <v>541</v>
      </c>
      <c r="V86" s="63" t="s">
        <v>148</v>
      </c>
      <c r="W86" s="58">
        <v>6521006</v>
      </c>
      <c r="X86" s="42" t="s">
        <v>115</v>
      </c>
      <c r="Y86" s="42" t="s">
        <v>328</v>
      </c>
      <c r="Z86" s="23">
        <v>700</v>
      </c>
    </row>
    <row r="87" spans="1:26" x14ac:dyDescent="0.25">
      <c r="A87" s="65"/>
      <c r="B87" s="66"/>
      <c r="C87" s="66"/>
      <c r="D87" s="27" t="str" cm="1">
        <f t="array" ref="D87">IF(I87="---","---",SumHH((I87,L87),(M87,P87)))</f>
        <v>---</v>
      </c>
      <c r="E87" s="23" t="str">
        <f t="shared" si="2"/>
        <v>---</v>
      </c>
      <c r="F87" s="25">
        <f ca="1">IF(G87="DD",('Item Usage'!$D$101+L87)-(P87+M87),"---")</f>
        <v>44498</v>
      </c>
      <c r="G87" s="42" t="s">
        <v>79</v>
      </c>
      <c r="H87" s="42" t="s">
        <v>259</v>
      </c>
      <c r="I87" s="27" t="str">
        <f>_xlfn.XLOOKUP(G87,'Item Usage'!$B$59:$B$65,'Item Usage'!$D$59:$D$65,"---",0,1)</f>
        <v>---</v>
      </c>
      <c r="J87" s="23" t="str">
        <f>_xlfn.XLOOKUP(G87,'Item Usage'!$B$70:$B$100,'Item Usage'!$D$70:$D$100,"---",0,1)</f>
        <v>---</v>
      </c>
      <c r="K87" s="42" t="s">
        <v>492</v>
      </c>
      <c r="L87" s="23">
        <v>21</v>
      </c>
      <c r="M87" s="23">
        <v>0</v>
      </c>
      <c r="N87" s="4"/>
      <c r="O87" s="42" t="s">
        <v>101</v>
      </c>
      <c r="P87" s="23">
        <v>30</v>
      </c>
      <c r="Q87" s="63" t="s">
        <v>270</v>
      </c>
      <c r="R87" s="42">
        <v>0</v>
      </c>
      <c r="S87" s="63"/>
      <c r="T87" s="63" t="s">
        <v>271</v>
      </c>
      <c r="U87" s="42" t="s">
        <v>492</v>
      </c>
      <c r="V87" s="63" t="s">
        <v>113</v>
      </c>
      <c r="W87" s="58" t="s">
        <v>272</v>
      </c>
      <c r="X87" s="42" t="s">
        <v>115</v>
      </c>
      <c r="Y87" s="42" t="s">
        <v>327</v>
      </c>
      <c r="Z87" s="23">
        <v>25</v>
      </c>
    </row>
    <row r="88" spans="1:26" x14ac:dyDescent="0.25">
      <c r="A88" s="65"/>
      <c r="B88" s="66"/>
      <c r="C88" s="66"/>
      <c r="D88" s="27" t="str" cm="1">
        <f t="array" ref="D88">IF(I88="---","---",SumHH((I88,L88),(M88,P88)))</f>
        <v>---</v>
      </c>
      <c r="E88" s="23" t="str">
        <f t="shared" si="2"/>
        <v>---</v>
      </c>
      <c r="F88" s="25">
        <f ca="1">IF(G88="DD",('Item Usage'!$D$101+L88)-(P88+M88),"---")</f>
        <v>44498</v>
      </c>
      <c r="G88" s="42" t="s">
        <v>79</v>
      </c>
      <c r="H88" s="42" t="s">
        <v>259</v>
      </c>
      <c r="I88" s="27" t="str">
        <f>_xlfn.XLOOKUP(G88,'Item Usage'!$B$59:$B$65,'Item Usage'!$D$59:$D$65,"---",0,1)</f>
        <v>---</v>
      </c>
      <c r="J88" s="23" t="str">
        <f>_xlfn.XLOOKUP(G88,'Item Usage'!$B$70:$B$100,'Item Usage'!$D$70:$D$100,"---",0,1)</f>
        <v>---</v>
      </c>
      <c r="K88" s="42" t="s">
        <v>492</v>
      </c>
      <c r="L88" s="23">
        <v>21</v>
      </c>
      <c r="M88" s="23">
        <v>0</v>
      </c>
      <c r="N88" s="4"/>
      <c r="O88" s="42" t="s">
        <v>101</v>
      </c>
      <c r="P88" s="23">
        <v>30</v>
      </c>
      <c r="Q88" s="63" t="s">
        <v>261</v>
      </c>
      <c r="R88" s="42">
        <v>0</v>
      </c>
      <c r="S88" s="63"/>
      <c r="T88" s="63" t="s">
        <v>262</v>
      </c>
      <c r="U88" s="42" t="s">
        <v>492</v>
      </c>
      <c r="V88" s="63" t="s">
        <v>113</v>
      </c>
      <c r="W88" s="58">
        <v>4622001</v>
      </c>
      <c r="X88" s="42" t="s">
        <v>115</v>
      </c>
      <c r="Y88" s="42" t="s">
        <v>327</v>
      </c>
      <c r="Z88" s="23">
        <v>27</v>
      </c>
    </row>
    <row r="89" spans="1:26" x14ac:dyDescent="0.25">
      <c r="A89" s="65"/>
      <c r="B89" s="66"/>
      <c r="C89" s="66"/>
      <c r="D89" s="27" t="str" cm="1">
        <f t="array" ref="D89">IF(I89="---","---",SumHH((I89,L89),(M89,P89)))</f>
        <v>---</v>
      </c>
      <c r="E89" s="23" t="str">
        <f t="shared" si="2"/>
        <v>---</v>
      </c>
      <c r="F89" s="25">
        <f ca="1">IF(G89="DD",('Item Usage'!$D$101+L89)-(P89+M89),"---")</f>
        <v>44498</v>
      </c>
      <c r="G89" s="42" t="s">
        <v>79</v>
      </c>
      <c r="H89" s="42" t="s">
        <v>259</v>
      </c>
      <c r="I89" s="27" t="str">
        <f>_xlfn.XLOOKUP(G89,'Item Usage'!$B$59:$B$65,'Item Usage'!$D$59:$D$65,"---",0,1)</f>
        <v>---</v>
      </c>
      <c r="J89" s="23" t="str">
        <f>_xlfn.XLOOKUP(G89,'Item Usage'!$B$70:$B$100,'Item Usage'!$D$70:$D$100,"---",0,1)</f>
        <v>---</v>
      </c>
      <c r="K89" s="42" t="s">
        <v>492</v>
      </c>
      <c r="L89" s="23">
        <v>21</v>
      </c>
      <c r="M89" s="23">
        <v>0</v>
      </c>
      <c r="N89" s="4"/>
      <c r="O89" s="42" t="s">
        <v>101</v>
      </c>
      <c r="P89" s="23">
        <v>30</v>
      </c>
      <c r="Q89" s="63" t="s">
        <v>265</v>
      </c>
      <c r="R89" s="42">
        <v>0</v>
      </c>
      <c r="S89" s="63"/>
      <c r="T89" s="63" t="s">
        <v>266</v>
      </c>
      <c r="U89" s="42" t="s">
        <v>492</v>
      </c>
      <c r="V89" s="63" t="s">
        <v>113</v>
      </c>
      <c r="W89" s="58" t="s">
        <v>265</v>
      </c>
      <c r="X89" s="42" t="s">
        <v>115</v>
      </c>
      <c r="Y89" s="42" t="s">
        <v>327</v>
      </c>
      <c r="Z89" s="23">
        <v>28</v>
      </c>
    </row>
    <row r="90" spans="1:26" x14ac:dyDescent="0.25">
      <c r="A90" s="65"/>
      <c r="B90" s="66"/>
      <c r="C90" s="66"/>
      <c r="D90" s="27" t="str" cm="1">
        <f t="array" ref="D90">IF(I90="---","---",SumHH((I90,L90),(M90,P90)))</f>
        <v>---</v>
      </c>
      <c r="E90" s="23" t="str">
        <f t="shared" si="2"/>
        <v>---</v>
      </c>
      <c r="F90" s="25">
        <f ca="1">IF(G90="DD",('Item Usage'!$D$101+L90)-(P90+M90),"---")</f>
        <v>44166</v>
      </c>
      <c r="G90" s="42" t="s">
        <v>79</v>
      </c>
      <c r="H90" s="42" t="s">
        <v>259</v>
      </c>
      <c r="I90" s="27" t="str">
        <f>_xlfn.XLOOKUP(G90,'Item Usage'!$B$59:$B$65,'Item Usage'!$D$59:$D$65,"---",0,1)</f>
        <v>---</v>
      </c>
      <c r="J90" s="23" t="str">
        <f>_xlfn.XLOOKUP(G90,'Item Usage'!$B$70:$B$100,'Item Usage'!$D$70:$D$100,"---",0,1)</f>
        <v>---</v>
      </c>
      <c r="K90" s="42" t="s">
        <v>492</v>
      </c>
      <c r="L90" s="23">
        <v>23</v>
      </c>
      <c r="M90" s="23">
        <v>0</v>
      </c>
      <c r="N90" s="4"/>
      <c r="O90" s="42" t="s">
        <v>101</v>
      </c>
      <c r="P90" s="23">
        <v>364</v>
      </c>
      <c r="Q90" s="63" t="s">
        <v>622</v>
      </c>
      <c r="R90" s="42">
        <v>0</v>
      </c>
      <c r="S90" s="63"/>
      <c r="T90" s="63" t="s">
        <v>623</v>
      </c>
      <c r="U90" s="42" t="s">
        <v>492</v>
      </c>
      <c r="V90" s="63" t="s">
        <v>113</v>
      </c>
      <c r="W90" s="58">
        <v>2161001</v>
      </c>
      <c r="X90" s="42" t="s">
        <v>115</v>
      </c>
      <c r="Y90" s="42" t="s">
        <v>327</v>
      </c>
      <c r="Z90" s="23">
        <v>334</v>
      </c>
    </row>
    <row r="91" spans="1:26" x14ac:dyDescent="0.25">
      <c r="A91" s="65"/>
      <c r="B91" s="66"/>
      <c r="C91" s="66"/>
      <c r="D91" s="27" t="str" cm="1">
        <f t="array" ref="D91">IF(I91="---","---",SumHH((I91,L91),(M91,P91)))</f>
        <v>---</v>
      </c>
      <c r="E91" s="23" t="str">
        <f t="shared" si="2"/>
        <v>---</v>
      </c>
      <c r="F91" s="25">
        <f ca="1">IF(G91="DD",('Item Usage'!$D$101+L91)-(P91+M91),"---")</f>
        <v>44166</v>
      </c>
      <c r="G91" s="42" t="s">
        <v>79</v>
      </c>
      <c r="H91" s="42" t="s">
        <v>259</v>
      </c>
      <c r="I91" s="27" t="str">
        <f>_xlfn.XLOOKUP(G91,'Item Usage'!$B$59:$B$65,'Item Usage'!$D$59:$D$65,"---",0,1)</f>
        <v>---</v>
      </c>
      <c r="J91" s="23" t="str">
        <f>_xlfn.XLOOKUP(G91,'Item Usage'!$B$70:$B$100,'Item Usage'!$D$70:$D$100,"---",0,1)</f>
        <v>---</v>
      </c>
      <c r="K91" s="42" t="s">
        <v>492</v>
      </c>
      <c r="L91" s="23">
        <v>23</v>
      </c>
      <c r="M91" s="23">
        <v>0</v>
      </c>
      <c r="N91" s="4"/>
      <c r="O91" s="42" t="s">
        <v>101</v>
      </c>
      <c r="P91" s="23">
        <v>364</v>
      </c>
      <c r="Q91" s="63" t="s">
        <v>625</v>
      </c>
      <c r="R91" s="42">
        <v>0</v>
      </c>
      <c r="S91" s="63"/>
      <c r="T91" s="63" t="s">
        <v>626</v>
      </c>
      <c r="U91" s="42" t="s">
        <v>492</v>
      </c>
      <c r="V91" s="63" t="s">
        <v>113</v>
      </c>
      <c r="W91" s="58">
        <v>6320009</v>
      </c>
      <c r="X91" s="42" t="s">
        <v>115</v>
      </c>
      <c r="Y91" s="42" t="s">
        <v>327</v>
      </c>
      <c r="Z91" s="23">
        <v>334</v>
      </c>
    </row>
    <row r="92" spans="1:26" x14ac:dyDescent="0.25">
      <c r="A92" s="65"/>
      <c r="B92" s="66"/>
      <c r="C92" s="66"/>
      <c r="D92" s="27" t="str" cm="1">
        <f t="array" ref="D92">IF(I92="---","---",SumHH((I92,L92),(M92,P92)))</f>
        <v>---</v>
      </c>
      <c r="E92" s="23" t="str">
        <f t="shared" si="2"/>
        <v>---</v>
      </c>
      <c r="F92" s="25">
        <f ca="1">IF(G92="DD",('Item Usage'!$D$101+L92)-(P92+M92),"---")</f>
        <v>44441</v>
      </c>
      <c r="G92" s="42" t="s">
        <v>79</v>
      </c>
      <c r="H92" s="42" t="s">
        <v>259</v>
      </c>
      <c r="I92" s="27" t="str">
        <f>_xlfn.XLOOKUP(G92,'Item Usage'!$B$59:$B$65,'Item Usage'!$D$59:$D$65,"---",0,1)</f>
        <v>---</v>
      </c>
      <c r="J92" s="23" t="str">
        <f>_xlfn.XLOOKUP(G92,'Item Usage'!$B$70:$B$100,'Item Usage'!$D$70:$D$100,"---",0,1)</f>
        <v>---</v>
      </c>
      <c r="K92" s="42" t="s">
        <v>492</v>
      </c>
      <c r="L92" s="23">
        <v>25</v>
      </c>
      <c r="M92" s="23">
        <v>0</v>
      </c>
      <c r="N92" s="4"/>
      <c r="O92" s="42" t="s">
        <v>101</v>
      </c>
      <c r="P92" s="23">
        <v>91</v>
      </c>
      <c r="Q92" s="63" t="s">
        <v>296</v>
      </c>
      <c r="R92" s="42">
        <v>0</v>
      </c>
      <c r="S92" s="63"/>
      <c r="T92" s="63" t="s">
        <v>242</v>
      </c>
      <c r="U92" s="42" t="s">
        <v>492</v>
      </c>
      <c r="V92" s="63" t="s">
        <v>113</v>
      </c>
      <c r="W92" s="58">
        <v>6210004</v>
      </c>
      <c r="X92" s="42" t="s">
        <v>115</v>
      </c>
      <c r="Y92" s="42" t="s">
        <v>327</v>
      </c>
      <c r="Z92" s="23">
        <v>82</v>
      </c>
    </row>
    <row r="93" spans="1:26" x14ac:dyDescent="0.25">
      <c r="A93" s="65"/>
      <c r="B93" s="66"/>
      <c r="C93" s="66"/>
      <c r="D93" s="27" t="str" cm="1">
        <f t="array" ref="D93">IF(I93="---","---",SumHH((I93,L93),(M93,P93)))</f>
        <v>---</v>
      </c>
      <c r="E93" s="23" t="str">
        <f t="shared" si="2"/>
        <v>---</v>
      </c>
      <c r="F93" s="25">
        <f ca="1">IF(G93="DD",('Item Usage'!$D$101+L93)-(P93+M93),"---")</f>
        <v>43372</v>
      </c>
      <c r="G93" s="42" t="s">
        <v>79</v>
      </c>
      <c r="H93" s="42" t="s">
        <v>259</v>
      </c>
      <c r="I93" s="27" t="str">
        <f>_xlfn.XLOOKUP(G93,'Item Usage'!$B$59:$B$65,'Item Usage'!$D$59:$D$65,"---",0,1)</f>
        <v>---</v>
      </c>
      <c r="J93" s="23" t="str">
        <f>_xlfn.XLOOKUP(G93,'Item Usage'!$B$70:$B$100,'Item Usage'!$D$70:$D$100,"---",0,1)</f>
        <v>---</v>
      </c>
      <c r="K93" s="42" t="s">
        <v>492</v>
      </c>
      <c r="L93" s="23">
        <v>28</v>
      </c>
      <c r="M93" s="23">
        <v>1098</v>
      </c>
      <c r="N93" s="4"/>
      <c r="O93" s="42" t="s">
        <v>274</v>
      </c>
      <c r="P93" s="23">
        <v>65</v>
      </c>
      <c r="Q93" s="63" t="s">
        <v>274</v>
      </c>
      <c r="R93" s="42">
        <v>162</v>
      </c>
      <c r="S93" s="63" t="s">
        <v>629</v>
      </c>
      <c r="T93" s="63" t="s">
        <v>628</v>
      </c>
      <c r="U93" s="42" t="s">
        <v>492</v>
      </c>
      <c r="V93" s="63" t="s">
        <v>113</v>
      </c>
      <c r="W93" s="58" t="s">
        <v>274</v>
      </c>
      <c r="X93" s="42" t="s">
        <v>115</v>
      </c>
      <c r="Y93" s="42" t="s">
        <v>327</v>
      </c>
      <c r="Z93" s="23">
        <v>60</v>
      </c>
    </row>
    <row r="94" spans="1:26" x14ac:dyDescent="0.25">
      <c r="A94" s="65"/>
      <c r="B94" s="66"/>
      <c r="C94" s="66"/>
      <c r="D94" s="27" t="str" cm="1">
        <f t="array" ref="D94">IF(I94="---","---",SumHH((I94,L94),(M94,P94)))</f>
        <v>---</v>
      </c>
      <c r="E94" s="23" t="str">
        <f t="shared" si="2"/>
        <v>---</v>
      </c>
      <c r="F94" s="25">
        <f ca="1">IF(G94="DD",('Item Usage'!$D$101+L94)-(P94+M94),"---")</f>
        <v>44447</v>
      </c>
      <c r="G94" s="42" t="s">
        <v>79</v>
      </c>
      <c r="H94" s="42" t="s">
        <v>259</v>
      </c>
      <c r="I94" s="27" t="str">
        <f>_xlfn.XLOOKUP(G94,'Item Usage'!$B$59:$B$65,'Item Usage'!$D$59:$D$65,"---",0,1)</f>
        <v>---</v>
      </c>
      <c r="J94" s="23" t="str">
        <f>_xlfn.XLOOKUP(G94,'Item Usage'!$B$70:$B$100,'Item Usage'!$D$70:$D$100,"---",0,1)</f>
        <v>---</v>
      </c>
      <c r="K94" s="42" t="s">
        <v>492</v>
      </c>
      <c r="L94" s="23">
        <v>30</v>
      </c>
      <c r="M94" s="23">
        <v>0</v>
      </c>
      <c r="N94" s="4"/>
      <c r="O94" s="42" t="s">
        <v>101</v>
      </c>
      <c r="P94" s="23">
        <v>90</v>
      </c>
      <c r="Q94" s="63" t="s">
        <v>291</v>
      </c>
      <c r="R94" s="42">
        <v>0</v>
      </c>
      <c r="S94" s="63"/>
      <c r="T94" s="63" t="s">
        <v>292</v>
      </c>
      <c r="U94" s="42" t="s">
        <v>495</v>
      </c>
      <c r="V94" s="63" t="s">
        <v>105</v>
      </c>
      <c r="W94" s="58">
        <v>7200004</v>
      </c>
      <c r="X94" s="42">
        <v>64643</v>
      </c>
      <c r="Y94" s="42" t="s">
        <v>326</v>
      </c>
      <c r="Z94" s="23">
        <v>80</v>
      </c>
    </row>
    <row r="95" spans="1:26" x14ac:dyDescent="0.25">
      <c r="A95" s="65"/>
      <c r="B95" s="66"/>
      <c r="C95" s="66"/>
      <c r="D95" s="27" t="str" cm="1">
        <f t="array" ref="D95">IF(I95="---","---",SumHH((I95,L95),(M95,P95)))</f>
        <v>---</v>
      </c>
      <c r="E95" s="23" t="str">
        <f t="shared" si="2"/>
        <v>---</v>
      </c>
      <c r="F95" s="25">
        <f ca="1">IF(G95="DD",('Item Usage'!$D$101+L95)-(P95+M95),"---")</f>
        <v>44447</v>
      </c>
      <c r="G95" s="42" t="s">
        <v>79</v>
      </c>
      <c r="H95" s="42" t="s">
        <v>259</v>
      </c>
      <c r="I95" s="27" t="str">
        <f>_xlfn.XLOOKUP(G95,'Item Usage'!$B$59:$B$65,'Item Usage'!$D$59:$D$65,"---",0,1)</f>
        <v>---</v>
      </c>
      <c r="J95" s="23" t="str">
        <f>_xlfn.XLOOKUP(G95,'Item Usage'!$B$70:$B$100,'Item Usage'!$D$70:$D$100,"---",0,1)</f>
        <v>---</v>
      </c>
      <c r="K95" s="42" t="s">
        <v>492</v>
      </c>
      <c r="L95" s="23">
        <v>30</v>
      </c>
      <c r="M95" s="23">
        <v>0</v>
      </c>
      <c r="N95" s="4"/>
      <c r="O95" s="42" t="s">
        <v>101</v>
      </c>
      <c r="P95" s="23">
        <v>90</v>
      </c>
      <c r="Q95" s="63" t="s">
        <v>291</v>
      </c>
      <c r="R95" s="42">
        <v>0</v>
      </c>
      <c r="S95" s="63"/>
      <c r="T95" s="63" t="s">
        <v>292</v>
      </c>
      <c r="U95" s="42" t="s">
        <v>505</v>
      </c>
      <c r="V95" s="63" t="s">
        <v>105</v>
      </c>
      <c r="W95" s="58">
        <v>7200004</v>
      </c>
      <c r="X95" s="42">
        <v>64643</v>
      </c>
      <c r="Y95" s="42" t="s">
        <v>326</v>
      </c>
      <c r="Z95" s="23">
        <v>80</v>
      </c>
    </row>
    <row r="96" spans="1:26" x14ac:dyDescent="0.25">
      <c r="A96" s="65"/>
      <c r="B96" s="66"/>
      <c r="C96" s="66"/>
      <c r="D96" s="27" t="str" cm="1">
        <f t="array" ref="D96">IF(I96="---","---",SumHH((I96,L96),(M96,P96)))</f>
        <v>---</v>
      </c>
      <c r="E96" s="23" t="str">
        <f>IF(J96&lt;&gt;"---",($J96+$L96)-($P96+$M96),"---")</f>
        <v>---</v>
      </c>
      <c r="F96" s="25">
        <f ca="1">IF(G96="DD",('Item Usage'!$D$101+L96)-(P96+M96),"---")</f>
        <v>44447</v>
      </c>
      <c r="G96" s="42" t="s">
        <v>79</v>
      </c>
      <c r="H96" s="42" t="s">
        <v>259</v>
      </c>
      <c r="I96" s="27" t="str">
        <f>_xlfn.XLOOKUP(G96,'Item Usage'!$B$59:$B$65,'Item Usage'!$D$59:$D$65,"---",0,1)</f>
        <v>---</v>
      </c>
      <c r="J96" s="23" t="str">
        <f>_xlfn.XLOOKUP(G96,'Item Usage'!$B$70:$B$100,'Item Usage'!$D$70:$D$100,"---",0,1)</f>
        <v>---</v>
      </c>
      <c r="K96" s="42" t="s">
        <v>492</v>
      </c>
      <c r="L96" s="23">
        <v>30</v>
      </c>
      <c r="M96" s="23">
        <v>0</v>
      </c>
      <c r="N96" s="4"/>
      <c r="O96" s="42" t="s">
        <v>101</v>
      </c>
      <c r="P96" s="23">
        <v>90</v>
      </c>
      <c r="Q96" s="63" t="s">
        <v>277</v>
      </c>
      <c r="R96" s="42">
        <v>0</v>
      </c>
      <c r="S96" s="63"/>
      <c r="T96" s="63" t="s">
        <v>278</v>
      </c>
      <c r="U96" s="42" t="s">
        <v>538</v>
      </c>
      <c r="V96" s="63" t="s">
        <v>193</v>
      </c>
      <c r="W96" s="58" t="s">
        <v>279</v>
      </c>
      <c r="X96" s="42" t="s">
        <v>195</v>
      </c>
      <c r="Y96" s="42" t="s">
        <v>328</v>
      </c>
      <c r="Z96" s="23">
        <v>81</v>
      </c>
    </row>
    <row r="97" spans="1:26" x14ac:dyDescent="0.25">
      <c r="A97" s="65"/>
      <c r="B97" s="66"/>
      <c r="C97" s="66"/>
      <c r="D97" s="27" t="str" cm="1">
        <f t="array" ref="D97">IF(I97="---","---",SumHH((I97,L97),(M97,P97)))</f>
        <v>---</v>
      </c>
      <c r="E97" s="23" t="str">
        <f t="shared" si="2"/>
        <v>---</v>
      </c>
      <c r="F97" s="25">
        <f ca="1">IF(G97="DD",('Item Usage'!$D$101+L97)-(P97+M97),"---")</f>
        <v>44447</v>
      </c>
      <c r="G97" s="42" t="s">
        <v>79</v>
      </c>
      <c r="H97" s="42" t="s">
        <v>259</v>
      </c>
      <c r="I97" s="27" t="str">
        <f>_xlfn.XLOOKUP(G97,'Item Usage'!$B$59:$B$65,'Item Usage'!$D$59:$D$65,"---",0,1)</f>
        <v>---</v>
      </c>
      <c r="J97" s="23" t="str">
        <f>_xlfn.XLOOKUP(G97,'Item Usage'!$B$70:$B$100,'Item Usage'!$D$70:$D$100,"---",0,1)</f>
        <v>---</v>
      </c>
      <c r="K97" s="42" t="s">
        <v>492</v>
      </c>
      <c r="L97" s="23">
        <v>31</v>
      </c>
      <c r="M97" s="23">
        <v>0</v>
      </c>
      <c r="N97" s="4"/>
      <c r="O97" s="42" t="s">
        <v>101</v>
      </c>
      <c r="P97" s="23">
        <v>91</v>
      </c>
      <c r="Q97" s="63" t="s">
        <v>295</v>
      </c>
      <c r="R97" s="42">
        <v>0</v>
      </c>
      <c r="S97" s="63"/>
      <c r="T97" s="63" t="s">
        <v>240</v>
      </c>
      <c r="U97" s="42" t="s">
        <v>492</v>
      </c>
      <c r="V97" s="63" t="s">
        <v>113</v>
      </c>
      <c r="W97" s="58">
        <v>3040004</v>
      </c>
      <c r="X97" s="42" t="s">
        <v>115</v>
      </c>
      <c r="Y97" s="42" t="s">
        <v>327</v>
      </c>
      <c r="Z97" s="23">
        <v>82</v>
      </c>
    </row>
    <row r="98" spans="1:26" x14ac:dyDescent="0.25">
      <c r="A98" s="65"/>
      <c r="B98" s="66"/>
      <c r="C98" s="66"/>
      <c r="D98" s="27" t="str" cm="1">
        <f t="array" ref="D98">IF(I98="---","---",SumHH((I98,L98),(M98,P98)))</f>
        <v>---</v>
      </c>
      <c r="E98" s="23" t="str">
        <f t="shared" si="2"/>
        <v>---</v>
      </c>
      <c r="F98" s="25">
        <f ca="1">IF(G98="DD",('Item Usage'!$D$101+L98)-(P98+M98),"---")</f>
        <v>44502</v>
      </c>
      <c r="G98" s="42" t="s">
        <v>79</v>
      </c>
      <c r="H98" s="42" t="s">
        <v>259</v>
      </c>
      <c r="I98" s="27" t="str">
        <f>_xlfn.XLOOKUP(G98,'Item Usage'!$B$59:$B$65,'Item Usage'!$D$59:$D$65,"---",0,1)</f>
        <v>---</v>
      </c>
      <c r="J98" s="23" t="str">
        <f>_xlfn.XLOOKUP(G98,'Item Usage'!$B$70:$B$100,'Item Usage'!$D$70:$D$100,"---",0,1)</f>
        <v>---</v>
      </c>
      <c r="K98" s="42" t="s">
        <v>492</v>
      </c>
      <c r="L98" s="23">
        <v>33</v>
      </c>
      <c r="M98" s="23">
        <v>0</v>
      </c>
      <c r="N98" s="4"/>
      <c r="O98" s="42" t="s">
        <v>274</v>
      </c>
      <c r="P98" s="23">
        <v>38</v>
      </c>
      <c r="Q98" s="63" t="s">
        <v>274</v>
      </c>
      <c r="R98" s="42">
        <v>193</v>
      </c>
      <c r="S98" s="63" t="s">
        <v>634</v>
      </c>
      <c r="T98" s="63" t="s">
        <v>633</v>
      </c>
      <c r="U98" s="42" t="s">
        <v>492</v>
      </c>
      <c r="V98" s="63" t="s">
        <v>113</v>
      </c>
      <c r="W98" s="58" t="s">
        <v>274</v>
      </c>
      <c r="X98" s="42" t="s">
        <v>115</v>
      </c>
      <c r="Y98" s="42" t="s">
        <v>327</v>
      </c>
      <c r="Z98" s="23">
        <v>34</v>
      </c>
    </row>
    <row r="99" spans="1:26" x14ac:dyDescent="0.25">
      <c r="A99" s="65"/>
      <c r="B99" s="66"/>
      <c r="C99" s="66"/>
      <c r="D99" s="27" t="str" cm="1">
        <f t="array" ref="D99">IF(I99="---","---",SumHH((I99,L99),(M99,P99)))</f>
        <v>---</v>
      </c>
      <c r="E99" s="23" t="str">
        <f t="shared" si="2"/>
        <v>---</v>
      </c>
      <c r="F99" s="25">
        <f ca="1">IF(G99="DD",('Item Usage'!$D$101+L99)-(P99+M99),"---")</f>
        <v>44502</v>
      </c>
      <c r="G99" s="42" t="s">
        <v>79</v>
      </c>
      <c r="H99" s="42" t="s">
        <v>259</v>
      </c>
      <c r="I99" s="27" t="str">
        <f>_xlfn.XLOOKUP(G99,'Item Usage'!$B$59:$B$65,'Item Usage'!$D$59:$D$65,"---",0,1)</f>
        <v>---</v>
      </c>
      <c r="J99" s="23" t="str">
        <f>_xlfn.XLOOKUP(G99,'Item Usage'!$B$70:$B$100,'Item Usage'!$D$70:$D$100,"---",0,1)</f>
        <v>---</v>
      </c>
      <c r="K99" s="42" t="s">
        <v>492</v>
      </c>
      <c r="L99" s="23">
        <v>33</v>
      </c>
      <c r="M99" s="23">
        <v>0</v>
      </c>
      <c r="N99" s="4"/>
      <c r="O99" s="42" t="s">
        <v>274</v>
      </c>
      <c r="P99" s="23">
        <v>38</v>
      </c>
      <c r="Q99" s="63" t="s">
        <v>274</v>
      </c>
      <c r="R99" s="42">
        <v>194</v>
      </c>
      <c r="S99" s="63"/>
      <c r="T99" s="63" t="s">
        <v>637</v>
      </c>
      <c r="U99" s="42" t="s">
        <v>492</v>
      </c>
      <c r="V99" s="63" t="s">
        <v>113</v>
      </c>
      <c r="W99" s="58" t="s">
        <v>274</v>
      </c>
      <c r="X99" s="42" t="s">
        <v>115</v>
      </c>
      <c r="Y99" s="42" t="s">
        <v>327</v>
      </c>
      <c r="Z99" s="23">
        <v>33</v>
      </c>
    </row>
    <row r="100" spans="1:26" x14ac:dyDescent="0.25">
      <c r="A100" s="65"/>
      <c r="B100" s="66"/>
      <c r="C100" s="66"/>
      <c r="D100" s="27" t="str" cm="1">
        <f t="array" ref="D100">IF(I100="---","---",SumHH((I100,L100),(M100,P100)))</f>
        <v>---</v>
      </c>
      <c r="E100" s="23" t="str">
        <f t="shared" ref="E100:E131" si="3">IF(J100&lt;&gt;"---",($J100+$L100)-($P100+$M100),"---")</f>
        <v>---</v>
      </c>
      <c r="F100" s="25">
        <f ca="1">IF(G100="DD",('Item Usage'!$D$101+L100)-(P100+M100),"---")</f>
        <v>44502</v>
      </c>
      <c r="G100" s="42" t="s">
        <v>79</v>
      </c>
      <c r="H100" s="42" t="s">
        <v>259</v>
      </c>
      <c r="I100" s="27" t="str">
        <f>_xlfn.XLOOKUP(G100,'Item Usage'!$B$59:$B$65,'Item Usage'!$D$59:$D$65,"---",0,1)</f>
        <v>---</v>
      </c>
      <c r="J100" s="23" t="str">
        <f>_xlfn.XLOOKUP(G100,'Item Usage'!$B$70:$B$100,'Item Usage'!$D$70:$D$100,"---",0,1)</f>
        <v>---</v>
      </c>
      <c r="K100" s="42" t="s">
        <v>492</v>
      </c>
      <c r="L100" s="23">
        <v>33</v>
      </c>
      <c r="M100" s="23">
        <v>0</v>
      </c>
      <c r="N100" s="4"/>
      <c r="O100" s="42" t="s">
        <v>274</v>
      </c>
      <c r="P100" s="23">
        <v>38</v>
      </c>
      <c r="Q100" s="63" t="s">
        <v>274</v>
      </c>
      <c r="R100" s="42">
        <v>195</v>
      </c>
      <c r="S100" s="63" t="s">
        <v>640</v>
      </c>
      <c r="T100" s="63" t="s">
        <v>639</v>
      </c>
      <c r="U100" s="42" t="s">
        <v>492</v>
      </c>
      <c r="V100" s="63" t="s">
        <v>113</v>
      </c>
      <c r="W100" s="58" t="s">
        <v>274</v>
      </c>
      <c r="X100" s="42" t="s">
        <v>115</v>
      </c>
      <c r="Y100" s="42" t="s">
        <v>327</v>
      </c>
      <c r="Z100" s="23">
        <v>35</v>
      </c>
    </row>
    <row r="101" spans="1:26" x14ac:dyDescent="0.25">
      <c r="A101" s="65"/>
      <c r="B101" s="66"/>
      <c r="C101" s="66"/>
      <c r="D101" s="27" t="str" cm="1">
        <f t="array" ref="D101">IF(I101="---","---",SumHH((I101,L101),(M101,P101)))</f>
        <v>---</v>
      </c>
      <c r="E101" s="23" t="str">
        <f t="shared" si="3"/>
        <v>---</v>
      </c>
      <c r="F101" s="25">
        <f ca="1">IF(G101="DD",('Item Usage'!$D$101+L101)-(P101+M101),"---")</f>
        <v>42716</v>
      </c>
      <c r="G101" s="42" t="s">
        <v>79</v>
      </c>
      <c r="H101" s="42" t="s">
        <v>259</v>
      </c>
      <c r="I101" s="27" t="str">
        <f>_xlfn.XLOOKUP(G101,'Item Usage'!$B$59:$B$65,'Item Usage'!$D$59:$D$65,"---",0,1)</f>
        <v>---</v>
      </c>
      <c r="J101" s="23" t="str">
        <f>_xlfn.XLOOKUP(G101,'Item Usage'!$B$70:$B$100,'Item Usage'!$D$70:$D$100,"---",0,1)</f>
        <v>---</v>
      </c>
      <c r="K101" s="42" t="s">
        <v>492</v>
      </c>
      <c r="L101" s="23">
        <v>35</v>
      </c>
      <c r="M101" s="23">
        <v>6</v>
      </c>
      <c r="N101" s="4"/>
      <c r="O101" s="42" t="s">
        <v>160</v>
      </c>
      <c r="P101" s="23">
        <v>1820</v>
      </c>
      <c r="Q101" s="63" t="s">
        <v>641</v>
      </c>
      <c r="R101" s="42">
        <v>0</v>
      </c>
      <c r="S101" s="63"/>
      <c r="T101" s="63" t="s">
        <v>642</v>
      </c>
      <c r="U101" s="42" t="s">
        <v>643</v>
      </c>
      <c r="V101" s="63" t="s">
        <v>644</v>
      </c>
      <c r="W101" s="58" t="s">
        <v>162</v>
      </c>
      <c r="X101" s="42" t="s">
        <v>115</v>
      </c>
      <c r="Y101" s="42" t="s">
        <v>328</v>
      </c>
      <c r="Z101" s="23">
        <v>1790</v>
      </c>
    </row>
    <row r="102" spans="1:26" x14ac:dyDescent="0.25">
      <c r="A102" s="65"/>
      <c r="B102" s="66"/>
      <c r="C102" s="66"/>
      <c r="D102" s="27" t="str" cm="1">
        <f t="array" ref="D102">IF(I102="---","---",SumHH((I102,L102),(M102,P102)))</f>
        <v>---</v>
      </c>
      <c r="E102" s="23" t="str">
        <f t="shared" si="3"/>
        <v>---</v>
      </c>
      <c r="F102" s="25">
        <f ca="1">IF(G102="DD",('Item Usage'!$D$101+L102)-(P102+M102),"---")</f>
        <v>44167</v>
      </c>
      <c r="G102" s="42" t="s">
        <v>79</v>
      </c>
      <c r="H102" s="42" t="s">
        <v>259</v>
      </c>
      <c r="I102" s="27" t="str">
        <f>_xlfn.XLOOKUP(G102,'Item Usage'!$B$59:$B$65,'Item Usage'!$D$59:$D$65,"---",0,1)</f>
        <v>---</v>
      </c>
      <c r="J102" s="23" t="str">
        <f>_xlfn.XLOOKUP(G102,'Item Usage'!$B$70:$B$100,'Item Usage'!$D$70:$D$100,"---",0,1)</f>
        <v>---</v>
      </c>
      <c r="K102" s="42" t="s">
        <v>492</v>
      </c>
      <c r="L102" s="23">
        <v>35</v>
      </c>
      <c r="M102" s="23">
        <v>11</v>
      </c>
      <c r="N102" s="4"/>
      <c r="O102" s="42" t="s">
        <v>650</v>
      </c>
      <c r="P102" s="23">
        <v>364</v>
      </c>
      <c r="Q102" s="63" t="s">
        <v>648</v>
      </c>
      <c r="R102" s="42">
        <v>0</v>
      </c>
      <c r="S102" s="63"/>
      <c r="T102" s="63" t="s">
        <v>649</v>
      </c>
      <c r="U102" s="42">
        <v>406341</v>
      </c>
      <c r="V102" s="63" t="s">
        <v>594</v>
      </c>
      <c r="W102" s="58" t="s">
        <v>219</v>
      </c>
      <c r="X102" s="42" t="s">
        <v>115</v>
      </c>
      <c r="Y102" s="42" t="s">
        <v>328</v>
      </c>
      <c r="Z102" s="23">
        <v>334</v>
      </c>
    </row>
    <row r="103" spans="1:26" x14ac:dyDescent="0.25">
      <c r="A103" s="65"/>
      <c r="B103" s="66"/>
      <c r="C103" s="66"/>
      <c r="D103" s="27" t="str" cm="1">
        <f t="array" ref="D103">IF(I103="---","---",SumHH((I103,L103),(M103,P103)))</f>
        <v>---</v>
      </c>
      <c r="E103" s="23" t="str">
        <f t="shared" si="3"/>
        <v>---</v>
      </c>
      <c r="F103" s="25">
        <f ca="1">IF(G103="DD",('Item Usage'!$D$101+L103)-(P103+M103),"---")</f>
        <v>44165</v>
      </c>
      <c r="G103" s="42" t="s">
        <v>79</v>
      </c>
      <c r="H103" s="42" t="s">
        <v>259</v>
      </c>
      <c r="I103" s="27" t="str">
        <f>_xlfn.XLOOKUP(G103,'Item Usage'!$B$59:$B$65,'Item Usage'!$D$59:$D$65,"---",0,1)</f>
        <v>---</v>
      </c>
      <c r="J103" s="23" t="str">
        <f>_xlfn.XLOOKUP(G103,'Item Usage'!$B$70:$B$100,'Item Usage'!$D$70:$D$100,"---",0,1)</f>
        <v>---</v>
      </c>
      <c r="K103" s="42" t="s">
        <v>492</v>
      </c>
      <c r="L103" s="23">
        <v>35</v>
      </c>
      <c r="M103" s="23">
        <v>12</v>
      </c>
      <c r="N103" s="4"/>
      <c r="O103" s="42" t="s">
        <v>101</v>
      </c>
      <c r="P103" s="23">
        <v>365</v>
      </c>
      <c r="Q103" s="63" t="s">
        <v>422</v>
      </c>
      <c r="R103" s="42">
        <v>0</v>
      </c>
      <c r="S103" s="63"/>
      <c r="T103" s="63" t="s">
        <v>423</v>
      </c>
      <c r="U103" s="42" t="s">
        <v>492</v>
      </c>
      <c r="V103" s="63" t="s">
        <v>113</v>
      </c>
      <c r="W103" s="58" t="s">
        <v>424</v>
      </c>
      <c r="X103" s="42" t="s">
        <v>115</v>
      </c>
      <c r="Y103" s="42" t="s">
        <v>327</v>
      </c>
      <c r="Z103" s="23">
        <v>344</v>
      </c>
    </row>
    <row r="104" spans="1:26" x14ac:dyDescent="0.25">
      <c r="A104" s="65"/>
      <c r="B104" s="66"/>
      <c r="C104" s="66"/>
      <c r="D104" s="27" t="str" cm="1">
        <f t="array" ref="D104">IF(I104="---","---",SumHH((I104,L104),(M104,P104)))</f>
        <v>---</v>
      </c>
      <c r="E104" s="23" t="str">
        <f t="shared" si="3"/>
        <v>---</v>
      </c>
      <c r="F104" s="25">
        <f ca="1">IF(G104="DD",('Item Usage'!$D$101+L104)-(P104+M104),"---")</f>
        <v>44165</v>
      </c>
      <c r="G104" s="42" t="s">
        <v>79</v>
      </c>
      <c r="H104" s="42" t="s">
        <v>259</v>
      </c>
      <c r="I104" s="27" t="str">
        <f>_xlfn.XLOOKUP(G104,'Item Usage'!$B$59:$B$65,'Item Usage'!$D$59:$D$65,"---",0,1)</f>
        <v>---</v>
      </c>
      <c r="J104" s="23" t="str">
        <f>_xlfn.XLOOKUP(G104,'Item Usage'!$B$70:$B$100,'Item Usage'!$D$70:$D$100,"---",0,1)</f>
        <v>---</v>
      </c>
      <c r="K104" s="42" t="s">
        <v>492</v>
      </c>
      <c r="L104" s="23">
        <v>35</v>
      </c>
      <c r="M104" s="23">
        <v>12</v>
      </c>
      <c r="N104" s="4"/>
      <c r="O104" s="42" t="s">
        <v>101</v>
      </c>
      <c r="P104" s="23">
        <v>365</v>
      </c>
      <c r="Q104" s="63" t="s">
        <v>320</v>
      </c>
      <c r="R104" s="42">
        <v>0</v>
      </c>
      <c r="S104" s="63"/>
      <c r="T104" s="63" t="s">
        <v>321</v>
      </c>
      <c r="U104" s="42" t="s">
        <v>492</v>
      </c>
      <c r="V104" s="63" t="s">
        <v>113</v>
      </c>
      <c r="W104" s="58" t="s">
        <v>334</v>
      </c>
      <c r="X104" s="42" t="s">
        <v>115</v>
      </c>
      <c r="Y104" s="42" t="s">
        <v>327</v>
      </c>
      <c r="Z104" s="23">
        <v>344</v>
      </c>
    </row>
    <row r="105" spans="1:26" x14ac:dyDescent="0.25">
      <c r="A105" s="65"/>
      <c r="B105" s="66"/>
      <c r="C105" s="66"/>
      <c r="D105" s="27" t="str" cm="1">
        <f t="array" ref="D105">IF(I105="---","---",SumHH((I105,L105),(M105,P105)))</f>
        <v>---</v>
      </c>
      <c r="E105" s="23" t="str">
        <f t="shared" si="3"/>
        <v>---</v>
      </c>
      <c r="F105" s="25">
        <f ca="1">IF(G105="DD",('Item Usage'!$D$101+L105)-(P105+M105),"---")</f>
        <v>44502</v>
      </c>
      <c r="G105" s="42" t="s">
        <v>79</v>
      </c>
      <c r="H105" s="42" t="s">
        <v>259</v>
      </c>
      <c r="I105" s="27" t="str">
        <f>_xlfn.XLOOKUP(G105,'Item Usage'!$B$59:$B$65,'Item Usage'!$D$59:$D$65,"---",0,1)</f>
        <v>---</v>
      </c>
      <c r="J105" s="23" t="str">
        <f>_xlfn.XLOOKUP(G105,'Item Usage'!$B$70:$B$100,'Item Usage'!$D$70:$D$100,"---",0,1)</f>
        <v>---</v>
      </c>
      <c r="K105" s="42" t="s">
        <v>492</v>
      </c>
      <c r="L105" s="23">
        <v>35</v>
      </c>
      <c r="M105" s="23">
        <v>0</v>
      </c>
      <c r="N105" s="4"/>
      <c r="O105" s="42" t="s">
        <v>268</v>
      </c>
      <c r="P105" s="23">
        <v>40</v>
      </c>
      <c r="Q105" s="63" t="s">
        <v>268</v>
      </c>
      <c r="R105" s="42">
        <v>21</v>
      </c>
      <c r="S105" s="63" t="s">
        <v>653</v>
      </c>
      <c r="T105" s="63" t="s">
        <v>443</v>
      </c>
      <c r="U105" s="42" t="s">
        <v>492</v>
      </c>
      <c r="V105" s="63" t="s">
        <v>113</v>
      </c>
      <c r="W105" s="58" t="s">
        <v>268</v>
      </c>
      <c r="X105" s="42" t="s">
        <v>115</v>
      </c>
      <c r="Y105" s="42" t="s">
        <v>327</v>
      </c>
      <c r="Z105" s="23">
        <v>35</v>
      </c>
    </row>
    <row r="106" spans="1:26" x14ac:dyDescent="0.25">
      <c r="A106" s="65"/>
      <c r="B106" s="66"/>
      <c r="C106" s="66"/>
      <c r="D106" s="27" t="str" cm="1">
        <f t="array" ref="D106">IF(I106="---","---",SumHH((I106,L106),(M106,P106)))</f>
        <v>---</v>
      </c>
      <c r="E106" s="23" t="str">
        <f t="shared" si="3"/>
        <v>---</v>
      </c>
      <c r="F106" s="25">
        <f ca="1">IF(G106="DD",('Item Usage'!$D$101+L106)-(P106+M106),"---")</f>
        <v>43174</v>
      </c>
      <c r="G106" s="42" t="s">
        <v>79</v>
      </c>
      <c r="H106" s="42" t="s">
        <v>259</v>
      </c>
      <c r="I106" s="27" t="str">
        <f>_xlfn.XLOOKUP(G106,'Item Usage'!$B$59:$B$65,'Item Usage'!$D$59:$D$65,"---",0,1)</f>
        <v>---</v>
      </c>
      <c r="J106" s="23" t="str">
        <f>_xlfn.XLOOKUP(G106,'Item Usage'!$B$70:$B$100,'Item Usage'!$D$70:$D$100,"---",0,1)</f>
        <v>---</v>
      </c>
      <c r="K106" s="42" t="s">
        <v>492</v>
      </c>
      <c r="L106" s="23">
        <v>35</v>
      </c>
      <c r="M106" s="23">
        <v>1368</v>
      </c>
      <c r="N106" s="4"/>
      <c r="O106" s="42" t="s">
        <v>274</v>
      </c>
      <c r="P106" s="23">
        <v>0</v>
      </c>
      <c r="Q106" s="63" t="s">
        <v>274</v>
      </c>
      <c r="R106" s="42">
        <v>151</v>
      </c>
      <c r="S106" s="63" t="s">
        <v>656</v>
      </c>
      <c r="T106" s="63" t="s">
        <v>655</v>
      </c>
      <c r="U106" s="42" t="s">
        <v>492</v>
      </c>
      <c r="V106" s="63" t="s">
        <v>113</v>
      </c>
      <c r="W106" s="58" t="s">
        <v>274</v>
      </c>
      <c r="X106" s="42" t="s">
        <v>115</v>
      </c>
      <c r="Y106" s="42" t="s">
        <v>327</v>
      </c>
      <c r="Z106" s="23">
        <v>0</v>
      </c>
    </row>
    <row r="107" spans="1:26" x14ac:dyDescent="0.25">
      <c r="A107" s="65"/>
      <c r="B107" s="66"/>
      <c r="C107" s="66"/>
      <c r="D107" s="27" t="str" cm="1">
        <f t="array" ref="D107">IF(I107="---","---",SumHH((I107,L107),(M107,P107)))</f>
        <v>---</v>
      </c>
      <c r="E107" s="23" t="str">
        <f t="shared" si="3"/>
        <v>---</v>
      </c>
      <c r="F107" s="25">
        <f ca="1">IF(G107="DD",('Item Usage'!$D$101+L107)-(P107+M107),"---")</f>
        <v>43910</v>
      </c>
      <c r="G107" s="42" t="s">
        <v>79</v>
      </c>
      <c r="H107" s="42" t="s">
        <v>259</v>
      </c>
      <c r="I107" s="27" t="str">
        <f>_xlfn.XLOOKUP(G107,'Item Usage'!$B$59:$B$65,'Item Usage'!$D$59:$D$65,"---",0,1)</f>
        <v>---</v>
      </c>
      <c r="J107" s="23" t="str">
        <f>_xlfn.XLOOKUP(G107,'Item Usage'!$B$70:$B$100,'Item Usage'!$D$70:$D$100,"---",0,1)</f>
        <v>---</v>
      </c>
      <c r="K107" s="42" t="s">
        <v>492</v>
      </c>
      <c r="L107" s="23">
        <v>35</v>
      </c>
      <c r="M107" s="23">
        <v>454</v>
      </c>
      <c r="N107" s="4"/>
      <c r="O107" s="42" t="s">
        <v>274</v>
      </c>
      <c r="P107" s="23">
        <v>178</v>
      </c>
      <c r="Q107" s="63" t="s">
        <v>274</v>
      </c>
      <c r="R107" s="42">
        <v>175</v>
      </c>
      <c r="S107" s="63" t="s">
        <v>659</v>
      </c>
      <c r="T107" s="63" t="s">
        <v>658</v>
      </c>
      <c r="U107" s="42" t="s">
        <v>492</v>
      </c>
      <c r="V107" s="63" t="s">
        <v>113</v>
      </c>
      <c r="W107" s="58" t="s">
        <v>274</v>
      </c>
      <c r="X107" s="42" t="s">
        <v>115</v>
      </c>
      <c r="Y107" s="42" t="s">
        <v>327</v>
      </c>
      <c r="Z107" s="23">
        <v>173</v>
      </c>
    </row>
    <row r="108" spans="1:26" x14ac:dyDescent="0.25">
      <c r="A108" s="65"/>
      <c r="B108" s="66"/>
      <c r="C108" s="66"/>
      <c r="D108" s="27" t="str" cm="1">
        <f t="array" ref="D108">IF(I108="---","---",SumHH((I108,L108),(M108,P108)))</f>
        <v>---</v>
      </c>
      <c r="E108" s="23" t="str">
        <f t="shared" si="3"/>
        <v>---</v>
      </c>
      <c r="F108" s="25">
        <f ca="1">IF(G108="DD",('Item Usage'!$D$101+L108)-(P108+M108),"---")</f>
        <v>44167</v>
      </c>
      <c r="G108" s="42" t="s">
        <v>79</v>
      </c>
      <c r="H108" s="42" t="s">
        <v>259</v>
      </c>
      <c r="I108" s="27" t="str">
        <f>_xlfn.XLOOKUP(G108,'Item Usage'!$B$59:$B$65,'Item Usage'!$D$59:$D$65,"---",0,1)</f>
        <v>---</v>
      </c>
      <c r="J108" s="23" t="str">
        <f>_xlfn.XLOOKUP(G108,'Item Usage'!$B$70:$B$100,'Item Usage'!$D$70:$D$100,"---",0,1)</f>
        <v>---</v>
      </c>
      <c r="K108" s="42" t="s">
        <v>492</v>
      </c>
      <c r="L108" s="23">
        <v>35</v>
      </c>
      <c r="M108" s="23">
        <v>11</v>
      </c>
      <c r="N108" s="4"/>
      <c r="O108" s="42" t="s">
        <v>650</v>
      </c>
      <c r="P108" s="23">
        <v>364</v>
      </c>
      <c r="Q108" s="63" t="s">
        <v>663</v>
      </c>
      <c r="R108" s="42">
        <v>0</v>
      </c>
      <c r="S108" s="63"/>
      <c r="T108" s="63" t="s">
        <v>664</v>
      </c>
      <c r="U108" s="42">
        <v>411915</v>
      </c>
      <c r="V108" s="63" t="s">
        <v>599</v>
      </c>
      <c r="W108" s="58" t="s">
        <v>219</v>
      </c>
      <c r="X108" s="42" t="s">
        <v>115</v>
      </c>
      <c r="Y108" s="42" t="s">
        <v>328</v>
      </c>
      <c r="Z108" s="23">
        <v>334</v>
      </c>
    </row>
    <row r="109" spans="1:26" x14ac:dyDescent="0.25">
      <c r="A109" s="65"/>
      <c r="B109" s="66"/>
      <c r="C109" s="66"/>
      <c r="D109" s="27" t="str" cm="1">
        <f t="array" ref="D109">IF(I109="---","---",SumHH((I109,L109),(M109,P109)))</f>
        <v>---</v>
      </c>
      <c r="E109" s="23" t="str">
        <f t="shared" si="3"/>
        <v>---</v>
      </c>
      <c r="F109" s="25">
        <f ca="1">IF(G109="DD",('Item Usage'!$D$101+L109)-(P109+M109),"---")</f>
        <v>44165</v>
      </c>
      <c r="G109" s="42" t="s">
        <v>79</v>
      </c>
      <c r="H109" s="42" t="s">
        <v>259</v>
      </c>
      <c r="I109" s="27" t="str">
        <f>_xlfn.XLOOKUP(G109,'Item Usage'!$B$59:$B$65,'Item Usage'!$D$59:$D$65,"---",0,1)</f>
        <v>---</v>
      </c>
      <c r="J109" s="23" t="str">
        <f>_xlfn.XLOOKUP(G109,'Item Usage'!$B$70:$B$100,'Item Usage'!$D$70:$D$100,"---",0,1)</f>
        <v>---</v>
      </c>
      <c r="K109" s="42" t="s">
        <v>492</v>
      </c>
      <c r="L109" s="23">
        <v>35</v>
      </c>
      <c r="M109" s="23">
        <v>13</v>
      </c>
      <c r="N109" s="4"/>
      <c r="O109" s="42" t="s">
        <v>101</v>
      </c>
      <c r="P109" s="23">
        <v>364</v>
      </c>
      <c r="Q109" s="63" t="s">
        <v>665</v>
      </c>
      <c r="R109" s="42">
        <v>0</v>
      </c>
      <c r="S109" s="63"/>
      <c r="T109" s="63" t="s">
        <v>666</v>
      </c>
      <c r="U109" s="42">
        <v>171</v>
      </c>
      <c r="V109" s="63" t="s">
        <v>669</v>
      </c>
      <c r="W109" s="58" t="s">
        <v>668</v>
      </c>
      <c r="X109" s="42" t="s">
        <v>115</v>
      </c>
      <c r="Y109" s="42" t="s">
        <v>328</v>
      </c>
      <c r="Z109" s="23">
        <v>330</v>
      </c>
    </row>
    <row r="110" spans="1:26" x14ac:dyDescent="0.25">
      <c r="A110" s="65"/>
      <c r="B110" s="66"/>
      <c r="C110" s="66"/>
      <c r="D110" s="27" t="str" cm="1">
        <f t="array" ref="D110">IF(I110="---","---",SumHH((I110,L110),(M110,P110)))</f>
        <v>---</v>
      </c>
      <c r="E110" s="23" t="str">
        <f t="shared" si="3"/>
        <v>---</v>
      </c>
      <c r="F110" s="25">
        <f ca="1">IF(G110="DD",('Item Usage'!$D$101+L110)-(P110+M110),"---")</f>
        <v>44166</v>
      </c>
      <c r="G110" s="42" t="s">
        <v>79</v>
      </c>
      <c r="H110" s="42" t="s">
        <v>259</v>
      </c>
      <c r="I110" s="27" t="str">
        <f>_xlfn.XLOOKUP(G110,'Item Usage'!$B$59:$B$65,'Item Usage'!$D$59:$D$65,"---",0,1)</f>
        <v>---</v>
      </c>
      <c r="J110" s="23" t="str">
        <f>_xlfn.XLOOKUP(G110,'Item Usage'!$B$70:$B$100,'Item Usage'!$D$70:$D$100,"---",0,1)</f>
        <v>---</v>
      </c>
      <c r="K110" s="42" t="s">
        <v>492</v>
      </c>
      <c r="L110" s="23">
        <v>35</v>
      </c>
      <c r="M110" s="23">
        <v>12</v>
      </c>
      <c r="N110" s="4"/>
      <c r="O110" s="42" t="s">
        <v>101</v>
      </c>
      <c r="P110" s="23">
        <v>364</v>
      </c>
      <c r="Q110" s="63" t="s">
        <v>665</v>
      </c>
      <c r="R110" s="42">
        <v>0</v>
      </c>
      <c r="S110" s="63"/>
      <c r="T110" s="63" t="s">
        <v>666</v>
      </c>
      <c r="U110" s="42">
        <v>6</v>
      </c>
      <c r="V110" s="63" t="s">
        <v>672</v>
      </c>
      <c r="W110" s="58" t="s">
        <v>668</v>
      </c>
      <c r="X110" s="42" t="s">
        <v>115</v>
      </c>
      <c r="Y110" s="42" t="s">
        <v>328</v>
      </c>
      <c r="Z110" s="23">
        <v>330</v>
      </c>
    </row>
    <row r="111" spans="1:26" x14ac:dyDescent="0.25">
      <c r="A111" s="65"/>
      <c r="B111" s="66"/>
      <c r="C111" s="66"/>
      <c r="D111" s="27" t="str" cm="1">
        <f t="array" ref="D111">IF(I111="---","---",SumHH((I111,L111),(M111,P111)))</f>
        <v>---</v>
      </c>
      <c r="E111" s="23" t="str">
        <f t="shared" si="3"/>
        <v>---</v>
      </c>
      <c r="F111" s="25">
        <f ca="1">IF(G111="DD",('Item Usage'!$D$101+L111)-(P111+M111),"---")</f>
        <v>44166</v>
      </c>
      <c r="G111" s="42" t="s">
        <v>79</v>
      </c>
      <c r="H111" s="42" t="s">
        <v>259</v>
      </c>
      <c r="I111" s="27" t="str">
        <f>_xlfn.XLOOKUP(G111,'Item Usage'!$B$59:$B$65,'Item Usage'!$D$59:$D$65,"---",0,1)</f>
        <v>---</v>
      </c>
      <c r="J111" s="23" t="str">
        <f>_xlfn.XLOOKUP(G111,'Item Usage'!$B$70:$B$100,'Item Usage'!$D$70:$D$100,"---",0,1)</f>
        <v>---</v>
      </c>
      <c r="K111" s="42" t="s">
        <v>492</v>
      </c>
      <c r="L111" s="23">
        <v>35</v>
      </c>
      <c r="M111" s="23">
        <v>12</v>
      </c>
      <c r="N111" s="4"/>
      <c r="O111" s="42" t="s">
        <v>650</v>
      </c>
      <c r="P111" s="23">
        <v>364</v>
      </c>
      <c r="Q111" s="63" t="s">
        <v>663</v>
      </c>
      <c r="R111" s="42">
        <v>0</v>
      </c>
      <c r="S111" s="63"/>
      <c r="T111" s="63" t="s">
        <v>664</v>
      </c>
      <c r="U111" s="42">
        <v>662721</v>
      </c>
      <c r="V111" s="63" t="s">
        <v>607</v>
      </c>
      <c r="W111" s="58" t="s">
        <v>219</v>
      </c>
      <c r="X111" s="42" t="s">
        <v>115</v>
      </c>
      <c r="Y111" s="42" t="s">
        <v>328</v>
      </c>
      <c r="Z111" s="23">
        <v>334</v>
      </c>
    </row>
    <row r="112" spans="1:26" x14ac:dyDescent="0.25">
      <c r="A112" s="65"/>
      <c r="B112" s="66"/>
      <c r="C112" s="66"/>
      <c r="D112" s="27" t="str" cm="1">
        <f t="array" ref="D112">IF(I112="---","---",SumHH((I112,L112),(M112,P112)))</f>
        <v>---</v>
      </c>
      <c r="E112" s="23" t="str">
        <f t="shared" si="3"/>
        <v>---</v>
      </c>
      <c r="F112" s="25">
        <f ca="1">IF(G112="DD",('Item Usage'!$D$101+L112)-(P112+M112),"---")</f>
        <v>44306</v>
      </c>
      <c r="G112" s="42" t="s">
        <v>79</v>
      </c>
      <c r="H112" s="42" t="s">
        <v>259</v>
      </c>
      <c r="I112" s="27" t="str">
        <f>_xlfn.XLOOKUP(G112,'Item Usage'!$B$59:$B$65,'Item Usage'!$D$59:$D$65,"---",0,1)</f>
        <v>---</v>
      </c>
      <c r="J112" s="23" t="str">
        <f>_xlfn.XLOOKUP(G112,'Item Usage'!$B$70:$B$100,'Item Usage'!$D$70:$D$100,"---",0,1)</f>
        <v>---</v>
      </c>
      <c r="K112" s="42" t="s">
        <v>492</v>
      </c>
      <c r="L112" s="23">
        <v>36</v>
      </c>
      <c r="M112" s="23">
        <v>167</v>
      </c>
      <c r="N112" s="4"/>
      <c r="O112" s="42" t="s">
        <v>268</v>
      </c>
      <c r="P112" s="23">
        <v>70</v>
      </c>
      <c r="Q112" s="63" t="s">
        <v>268</v>
      </c>
      <c r="R112" s="42">
        <v>19</v>
      </c>
      <c r="S112" s="63" t="s">
        <v>675</v>
      </c>
      <c r="T112" s="63" t="s">
        <v>674</v>
      </c>
      <c r="U112" s="42" t="s">
        <v>492</v>
      </c>
      <c r="V112" s="63" t="s">
        <v>113</v>
      </c>
      <c r="W112" s="58" t="s">
        <v>268</v>
      </c>
      <c r="X112" s="42" t="s">
        <v>115</v>
      </c>
      <c r="Y112" s="42" t="s">
        <v>327</v>
      </c>
      <c r="Z112" s="23">
        <v>60</v>
      </c>
    </row>
    <row r="113" spans="1:26" x14ac:dyDescent="0.25">
      <c r="A113" s="65"/>
      <c r="B113" s="66"/>
      <c r="C113" s="66"/>
      <c r="D113" s="27" t="str" cm="1">
        <f t="array" ref="D113">IF(I113="---","---",SumHH((I113,L113),(M113,P113)))</f>
        <v>---</v>
      </c>
      <c r="E113" s="23" t="str">
        <f t="shared" si="3"/>
        <v>---</v>
      </c>
      <c r="F113" s="25">
        <f ca="1">IF(G113="DD",('Item Usage'!$D$101+L113)-(P113+M113),"---")</f>
        <v>44411</v>
      </c>
      <c r="G113" s="42" t="s">
        <v>79</v>
      </c>
      <c r="H113" s="42" t="s">
        <v>259</v>
      </c>
      <c r="I113" s="27" t="str">
        <f>_xlfn.XLOOKUP(G113,'Item Usage'!$B$59:$B$65,'Item Usage'!$D$59:$D$65,"---",0,1)</f>
        <v>---</v>
      </c>
      <c r="J113" s="23" t="str">
        <f>_xlfn.XLOOKUP(G113,'Item Usage'!$B$70:$B$100,'Item Usage'!$D$70:$D$100,"---",0,1)</f>
        <v>---</v>
      </c>
      <c r="K113" s="42" t="s">
        <v>492</v>
      </c>
      <c r="L113" s="23">
        <v>36</v>
      </c>
      <c r="M113" s="23">
        <v>42</v>
      </c>
      <c r="N113" s="4"/>
      <c r="O113" s="42" t="s">
        <v>268</v>
      </c>
      <c r="P113" s="23">
        <v>90</v>
      </c>
      <c r="Q113" s="63" t="s">
        <v>268</v>
      </c>
      <c r="R113" s="42">
        <v>20</v>
      </c>
      <c r="S113" s="63" t="s">
        <v>680</v>
      </c>
      <c r="T113" s="63" t="s">
        <v>679</v>
      </c>
      <c r="U113" s="42" t="s">
        <v>492</v>
      </c>
      <c r="V113" s="63" t="s">
        <v>113</v>
      </c>
      <c r="W113" s="58" t="s">
        <v>268</v>
      </c>
      <c r="X113" s="42" t="s">
        <v>115</v>
      </c>
      <c r="Y113" s="42" t="s">
        <v>327</v>
      </c>
      <c r="Z113" s="23">
        <v>83</v>
      </c>
    </row>
    <row r="114" spans="1:26" x14ac:dyDescent="0.25">
      <c r="A114" s="65"/>
      <c r="B114" s="66"/>
      <c r="C114" s="66"/>
      <c r="D114" s="27" t="str" cm="1">
        <f t="array" ref="D114">IF(I114="---","---",SumHH((I114,L114),(M114,P114)))</f>
        <v>---</v>
      </c>
      <c r="E114" s="23" t="str">
        <f t="shared" si="3"/>
        <v>---</v>
      </c>
      <c r="F114" s="25">
        <f ca="1">IF(G114="DD",('Item Usage'!$D$101+L114)-(P114+M114),"---")</f>
        <v>44410</v>
      </c>
      <c r="G114" s="42" t="s">
        <v>79</v>
      </c>
      <c r="H114" s="42" t="s">
        <v>259</v>
      </c>
      <c r="I114" s="27" t="str">
        <f>_xlfn.XLOOKUP(G114,'Item Usage'!$B$59:$B$65,'Item Usage'!$D$59:$D$65,"---",0,1)</f>
        <v>---</v>
      </c>
      <c r="J114" s="23" t="str">
        <f>_xlfn.XLOOKUP(G114,'Item Usage'!$B$70:$B$100,'Item Usage'!$D$70:$D$100,"---",0,1)</f>
        <v>---</v>
      </c>
      <c r="K114" s="42" t="s">
        <v>492</v>
      </c>
      <c r="L114" s="23">
        <v>36</v>
      </c>
      <c r="M114" s="23">
        <v>126</v>
      </c>
      <c r="N114" s="4"/>
      <c r="O114" s="42" t="s">
        <v>274</v>
      </c>
      <c r="P114" s="23">
        <v>7</v>
      </c>
      <c r="Q114" s="63" t="s">
        <v>274</v>
      </c>
      <c r="R114" s="42">
        <v>185</v>
      </c>
      <c r="S114" s="63" t="s">
        <v>683</v>
      </c>
      <c r="T114" s="63" t="s">
        <v>682</v>
      </c>
      <c r="U114" s="42" t="s">
        <v>492</v>
      </c>
      <c r="V114" s="63" t="s">
        <v>113</v>
      </c>
      <c r="W114" s="58" t="s">
        <v>274</v>
      </c>
      <c r="X114" s="42" t="s">
        <v>115</v>
      </c>
      <c r="Y114" s="42" t="s">
        <v>327</v>
      </c>
      <c r="Z114" s="23">
        <v>5</v>
      </c>
    </row>
    <row r="115" spans="1:26" x14ac:dyDescent="0.25">
      <c r="A115" s="65"/>
      <c r="B115" s="66"/>
      <c r="C115" s="66"/>
      <c r="D115" s="27" t="str" cm="1">
        <f t="array" ref="D115">IF(I115="---","---",SumHH((I115,L115),(M115,P115)))</f>
        <v>---</v>
      </c>
      <c r="E115" s="23" t="str">
        <f t="shared" si="3"/>
        <v>---</v>
      </c>
      <c r="F115" s="25">
        <f ca="1">IF(G115="DD",('Item Usage'!$D$101+L115)-(P115+M115),"---")</f>
        <v>44445</v>
      </c>
      <c r="G115" s="42" t="s">
        <v>79</v>
      </c>
      <c r="H115" s="42" t="s">
        <v>259</v>
      </c>
      <c r="I115" s="27" t="str">
        <f>_xlfn.XLOOKUP(G115,'Item Usage'!$B$59:$B$65,'Item Usage'!$D$59:$D$65,"---",0,1)</f>
        <v>---</v>
      </c>
      <c r="J115" s="23" t="str">
        <f>_xlfn.XLOOKUP(G115,'Item Usage'!$B$70:$B$100,'Item Usage'!$D$70:$D$100,"---",0,1)</f>
        <v>---</v>
      </c>
      <c r="K115" s="42" t="s">
        <v>492</v>
      </c>
      <c r="L115" s="23">
        <v>36</v>
      </c>
      <c r="M115" s="23">
        <v>70</v>
      </c>
      <c r="N115" s="4"/>
      <c r="O115" s="42" t="s">
        <v>274</v>
      </c>
      <c r="P115" s="23">
        <v>28</v>
      </c>
      <c r="Q115" s="63" t="s">
        <v>274</v>
      </c>
      <c r="R115" s="42">
        <v>186</v>
      </c>
      <c r="S115" s="63" t="s">
        <v>688</v>
      </c>
      <c r="T115" s="63" t="s">
        <v>687</v>
      </c>
      <c r="U115" s="42" t="s">
        <v>492</v>
      </c>
      <c r="V115" s="63" t="s">
        <v>113</v>
      </c>
      <c r="W115" s="58" t="s">
        <v>274</v>
      </c>
      <c r="X115" s="42" t="s">
        <v>115</v>
      </c>
      <c r="Y115" s="42" t="s">
        <v>327</v>
      </c>
      <c r="Z115" s="23">
        <v>0</v>
      </c>
    </row>
    <row r="116" spans="1:26" x14ac:dyDescent="0.25">
      <c r="A116" s="65"/>
      <c r="B116" s="66"/>
      <c r="C116" s="66"/>
      <c r="D116" s="27" t="str" cm="1">
        <f t="array" ref="D116">IF(I116="---","---",SumHH((I116,L116),(M116,P116)))</f>
        <v>---</v>
      </c>
      <c r="E116" s="23" t="str">
        <f t="shared" si="3"/>
        <v>---</v>
      </c>
      <c r="F116" s="25">
        <f ca="1">IF(G116="DD",('Item Usage'!$D$101+L116)-(P116+M116),"---")</f>
        <v>44382</v>
      </c>
      <c r="G116" s="42" t="s">
        <v>79</v>
      </c>
      <c r="H116" s="42" t="s">
        <v>259</v>
      </c>
      <c r="I116" s="27" t="str">
        <f>_xlfn.XLOOKUP(G116,'Item Usage'!$B$59:$B$65,'Item Usage'!$D$59:$D$65,"---",0,1)</f>
        <v>---</v>
      </c>
      <c r="J116" s="23" t="str">
        <f>_xlfn.XLOOKUP(G116,'Item Usage'!$B$70:$B$100,'Item Usage'!$D$70:$D$100,"---",0,1)</f>
        <v>---</v>
      </c>
      <c r="K116" s="42" t="s">
        <v>492</v>
      </c>
      <c r="L116" s="23">
        <v>36</v>
      </c>
      <c r="M116" s="23">
        <v>133</v>
      </c>
      <c r="N116" s="4"/>
      <c r="O116" s="42" t="s">
        <v>274</v>
      </c>
      <c r="P116" s="23">
        <v>28</v>
      </c>
      <c r="Q116" s="63" t="s">
        <v>274</v>
      </c>
      <c r="R116" s="42">
        <v>187</v>
      </c>
      <c r="S116" s="63" t="s">
        <v>691</v>
      </c>
      <c r="T116" s="63" t="s">
        <v>690</v>
      </c>
      <c r="U116" s="42" t="s">
        <v>492</v>
      </c>
      <c r="V116" s="63" t="s">
        <v>113</v>
      </c>
      <c r="W116" s="58" t="s">
        <v>274</v>
      </c>
      <c r="X116" s="42" t="s">
        <v>115</v>
      </c>
      <c r="Y116" s="42" t="s">
        <v>327</v>
      </c>
      <c r="Z116" s="23">
        <v>0</v>
      </c>
    </row>
    <row r="117" spans="1:26" x14ac:dyDescent="0.25">
      <c r="A117" s="65"/>
      <c r="B117" s="66"/>
      <c r="C117" s="66"/>
      <c r="D117" s="27" t="str" cm="1">
        <f t="array" ref="D117">IF(I117="---","---",SumHH((I117,L117),(M117,P117)))</f>
        <v>---</v>
      </c>
      <c r="E117" s="23" t="str">
        <f t="shared" si="3"/>
        <v>---</v>
      </c>
      <c r="F117" s="25">
        <f ca="1">IF(G117="DD",('Item Usage'!$D$101+L117)-(P117+M117),"---")</f>
        <v>44417</v>
      </c>
      <c r="G117" s="42" t="s">
        <v>79</v>
      </c>
      <c r="H117" s="42" t="s">
        <v>259</v>
      </c>
      <c r="I117" s="27" t="str">
        <f>_xlfn.XLOOKUP(G117,'Item Usage'!$B$59:$B$65,'Item Usage'!$D$59:$D$65,"---",0,1)</f>
        <v>---</v>
      </c>
      <c r="J117" s="23" t="str">
        <f>_xlfn.XLOOKUP(G117,'Item Usage'!$B$70:$B$100,'Item Usage'!$D$70:$D$100,"---",0,1)</f>
        <v>---</v>
      </c>
      <c r="K117" s="42" t="s">
        <v>492</v>
      </c>
      <c r="L117" s="23">
        <v>36</v>
      </c>
      <c r="M117" s="23">
        <v>98</v>
      </c>
      <c r="N117" s="4"/>
      <c r="O117" s="42" t="s">
        <v>274</v>
      </c>
      <c r="P117" s="23">
        <v>28</v>
      </c>
      <c r="Q117" s="63" t="s">
        <v>274</v>
      </c>
      <c r="R117" s="42">
        <v>188</v>
      </c>
      <c r="S117" s="63" t="s">
        <v>695</v>
      </c>
      <c r="T117" s="63" t="s">
        <v>694</v>
      </c>
      <c r="U117" s="42" t="s">
        <v>492</v>
      </c>
      <c r="V117" s="63" t="s">
        <v>113</v>
      </c>
      <c r="W117" s="58" t="s">
        <v>274</v>
      </c>
      <c r="X117" s="42" t="s">
        <v>115</v>
      </c>
      <c r="Y117" s="42" t="s">
        <v>327</v>
      </c>
      <c r="Z117" s="23">
        <v>0</v>
      </c>
    </row>
    <row r="118" spans="1:26" x14ac:dyDescent="0.25">
      <c r="A118" s="65"/>
      <c r="B118" s="66"/>
      <c r="C118" s="66"/>
      <c r="D118" s="27" t="str" cm="1">
        <f t="array" ref="D118">IF(I118="---","---",SumHH((I118,L118),(M118,P118)))</f>
        <v>---</v>
      </c>
      <c r="E118" s="23" t="str">
        <f t="shared" si="3"/>
        <v>---</v>
      </c>
      <c r="F118" s="25">
        <f ca="1">IF(G118="DD",('Item Usage'!$D$101+L118)-(P118+M118),"---")</f>
        <v>44417</v>
      </c>
      <c r="G118" s="42" t="s">
        <v>79</v>
      </c>
      <c r="H118" s="42" t="s">
        <v>259</v>
      </c>
      <c r="I118" s="27" t="str">
        <f>_xlfn.XLOOKUP(G118,'Item Usage'!$B$59:$B$65,'Item Usage'!$D$59:$D$65,"---",0,1)</f>
        <v>---</v>
      </c>
      <c r="J118" s="23" t="str">
        <f>_xlfn.XLOOKUP(G118,'Item Usage'!$B$70:$B$100,'Item Usage'!$D$70:$D$100,"---",0,1)</f>
        <v>---</v>
      </c>
      <c r="K118" s="42" t="s">
        <v>492</v>
      </c>
      <c r="L118" s="23">
        <v>36</v>
      </c>
      <c r="M118" s="23">
        <v>98</v>
      </c>
      <c r="N118" s="4"/>
      <c r="O118" s="42" t="s">
        <v>274</v>
      </c>
      <c r="P118" s="23">
        <v>28</v>
      </c>
      <c r="Q118" s="63" t="s">
        <v>274</v>
      </c>
      <c r="R118" s="42">
        <v>191</v>
      </c>
      <c r="S118" s="63" t="s">
        <v>699</v>
      </c>
      <c r="T118" s="63" t="s">
        <v>698</v>
      </c>
      <c r="U118" s="42" t="s">
        <v>492</v>
      </c>
      <c r="V118" s="63" t="s">
        <v>113</v>
      </c>
      <c r="W118" s="58" t="s">
        <v>274</v>
      </c>
      <c r="X118" s="42" t="s">
        <v>115</v>
      </c>
      <c r="Y118" s="42" t="s">
        <v>327</v>
      </c>
      <c r="Z118" s="23">
        <v>25</v>
      </c>
    </row>
    <row r="119" spans="1:26" x14ac:dyDescent="0.25">
      <c r="A119" s="65"/>
      <c r="B119" s="66"/>
      <c r="C119" s="66"/>
      <c r="D119" s="27" t="str" cm="1">
        <f t="array" ref="D119">IF(I119="---","---",SumHH((I119,L119),(M119,P119)))</f>
        <v>---</v>
      </c>
      <c r="E119" s="23" t="str">
        <f t="shared" si="3"/>
        <v>---</v>
      </c>
      <c r="F119" s="25">
        <f ca="1">IF(G119="DD",('Item Usage'!$D$101+L119)-(P119+M119),"---")</f>
        <v>44403</v>
      </c>
      <c r="G119" s="42" t="s">
        <v>79</v>
      </c>
      <c r="H119" s="42" t="s">
        <v>259</v>
      </c>
      <c r="I119" s="27" t="str">
        <f>_xlfn.XLOOKUP(G119,'Item Usage'!$B$59:$B$65,'Item Usage'!$D$59:$D$65,"---",0,1)</f>
        <v>---</v>
      </c>
      <c r="J119" s="23" t="str">
        <f>_xlfn.XLOOKUP(G119,'Item Usage'!$B$70:$B$100,'Item Usage'!$D$70:$D$100,"---",0,1)</f>
        <v>---</v>
      </c>
      <c r="K119" s="42" t="s">
        <v>492</v>
      </c>
      <c r="L119" s="23">
        <v>36</v>
      </c>
      <c r="M119" s="23">
        <v>126</v>
      </c>
      <c r="N119" s="4"/>
      <c r="O119" s="42" t="s">
        <v>274</v>
      </c>
      <c r="P119" s="23">
        <v>14</v>
      </c>
      <c r="Q119" s="63" t="s">
        <v>274</v>
      </c>
      <c r="R119" s="42">
        <v>192</v>
      </c>
      <c r="S119" s="63" t="s">
        <v>702</v>
      </c>
      <c r="T119" s="63" t="s">
        <v>701</v>
      </c>
      <c r="U119" s="42" t="s">
        <v>492</v>
      </c>
      <c r="V119" s="63" t="s">
        <v>113</v>
      </c>
      <c r="W119" s="58" t="s">
        <v>274</v>
      </c>
      <c r="X119" s="42" t="s">
        <v>115</v>
      </c>
      <c r="Y119" s="42" t="s">
        <v>327</v>
      </c>
      <c r="Z119" s="23">
        <v>10</v>
      </c>
    </row>
    <row r="120" spans="1:26" x14ac:dyDescent="0.25">
      <c r="A120" s="65"/>
      <c r="B120" s="66"/>
      <c r="C120" s="66"/>
      <c r="D120" s="27" t="str" cm="1">
        <f t="array" ref="D120">IF(I120="---","---",SumHH((I120,L120),(M120,P120)))</f>
        <v>---</v>
      </c>
      <c r="E120" s="23" t="str">
        <f t="shared" si="3"/>
        <v>---</v>
      </c>
      <c r="F120" s="25">
        <f ca="1">IF(G120="DD",('Item Usage'!$D$101+L120)-(P120+M120),"---")</f>
        <v>43818</v>
      </c>
      <c r="G120" s="42" t="s">
        <v>79</v>
      </c>
      <c r="H120" s="42" t="s">
        <v>259</v>
      </c>
      <c r="I120" s="27" t="str">
        <f>_xlfn.XLOOKUP(G120,'Item Usage'!$B$59:$B$65,'Item Usage'!$D$59:$D$65,"---",0,1)</f>
        <v>---</v>
      </c>
      <c r="J120" s="23" t="str">
        <f>_xlfn.XLOOKUP(G120,'Item Usage'!$B$70:$B$100,'Item Usage'!$D$70:$D$100,"---",0,1)</f>
        <v>---</v>
      </c>
      <c r="K120" s="42" t="s">
        <v>492</v>
      </c>
      <c r="L120" s="23">
        <v>39</v>
      </c>
      <c r="M120" s="23">
        <v>0</v>
      </c>
      <c r="N120" s="4"/>
      <c r="O120" s="42" t="s">
        <v>101</v>
      </c>
      <c r="P120" s="23">
        <v>728</v>
      </c>
      <c r="Q120" s="63" t="s">
        <v>431</v>
      </c>
      <c r="R120" s="42">
        <v>0</v>
      </c>
      <c r="S120" s="63"/>
      <c r="T120" s="63" t="s">
        <v>432</v>
      </c>
      <c r="U120" s="42" t="s">
        <v>492</v>
      </c>
      <c r="V120" s="63" t="s">
        <v>113</v>
      </c>
      <c r="W120" s="58">
        <v>3210006</v>
      </c>
      <c r="X120" s="42" t="s">
        <v>115</v>
      </c>
      <c r="Y120" s="42" t="s">
        <v>327</v>
      </c>
      <c r="Z120" s="23">
        <v>700</v>
      </c>
    </row>
    <row r="121" spans="1:26" x14ac:dyDescent="0.25">
      <c r="A121" s="65"/>
      <c r="B121" s="66"/>
      <c r="C121" s="66"/>
      <c r="D121" s="27" t="str" cm="1">
        <f t="array" ref="D121">IF(I121="---","---",SumHH((I121,L121),(M121,P121)))</f>
        <v>---</v>
      </c>
      <c r="E121" s="23" t="str">
        <f t="shared" si="3"/>
        <v>---</v>
      </c>
      <c r="F121" s="25">
        <f ca="1">IF(G121="DD",('Item Usage'!$D$101+L121)-(P121+M121),"---")</f>
        <v>43818</v>
      </c>
      <c r="G121" s="42" t="s">
        <v>79</v>
      </c>
      <c r="H121" s="42" t="s">
        <v>259</v>
      </c>
      <c r="I121" s="27" t="str">
        <f>_xlfn.XLOOKUP(G121,'Item Usage'!$B$59:$B$65,'Item Usage'!$D$59:$D$65,"---",0,1)</f>
        <v>---</v>
      </c>
      <c r="J121" s="23" t="str">
        <f>_xlfn.XLOOKUP(G121,'Item Usage'!$B$70:$B$100,'Item Usage'!$D$70:$D$100,"---",0,1)</f>
        <v>---</v>
      </c>
      <c r="K121" s="42" t="s">
        <v>492</v>
      </c>
      <c r="L121" s="23">
        <v>39</v>
      </c>
      <c r="M121" s="23">
        <v>0</v>
      </c>
      <c r="N121" s="4"/>
      <c r="O121" s="42" t="s">
        <v>101</v>
      </c>
      <c r="P121" s="23">
        <v>728</v>
      </c>
      <c r="Q121" s="63" t="s">
        <v>434</v>
      </c>
      <c r="R121" s="42">
        <v>0</v>
      </c>
      <c r="S121" s="63"/>
      <c r="T121" s="63" t="s">
        <v>435</v>
      </c>
      <c r="U121" s="42" t="s">
        <v>492</v>
      </c>
      <c r="V121" s="63" t="s">
        <v>113</v>
      </c>
      <c r="W121" s="58">
        <v>3220006</v>
      </c>
      <c r="X121" s="42" t="s">
        <v>115</v>
      </c>
      <c r="Y121" s="42" t="s">
        <v>327</v>
      </c>
      <c r="Z121" s="23">
        <v>700</v>
      </c>
    </row>
    <row r="122" spans="1:26" x14ac:dyDescent="0.25">
      <c r="A122" s="65"/>
      <c r="B122" s="66"/>
      <c r="C122" s="66"/>
      <c r="D122" s="27" t="str" cm="1">
        <f t="array" ref="D122">IF(I122="---","---",SumHH((I122,L122),(M122,P122)))</f>
        <v>---</v>
      </c>
      <c r="E122" s="23" t="str">
        <f t="shared" si="3"/>
        <v>---</v>
      </c>
      <c r="F122" s="25">
        <f ca="1">IF(G122="DD",('Item Usage'!$D$101+L122)-(P122+M122),"---")</f>
        <v>44476</v>
      </c>
      <c r="G122" s="42" t="s">
        <v>79</v>
      </c>
      <c r="H122" s="42" t="s">
        <v>259</v>
      </c>
      <c r="I122" s="27" t="str">
        <f>_xlfn.XLOOKUP(G122,'Item Usage'!$B$59:$B$65,'Item Usage'!$D$59:$D$65,"---",0,1)</f>
        <v>---</v>
      </c>
      <c r="J122" s="23" t="str">
        <f>_xlfn.XLOOKUP(G122,'Item Usage'!$B$70:$B$100,'Item Usage'!$D$70:$D$100,"---",0,1)</f>
        <v>---</v>
      </c>
      <c r="K122" s="42" t="s">
        <v>492</v>
      </c>
      <c r="L122" s="23">
        <v>59</v>
      </c>
      <c r="M122" s="23">
        <v>0</v>
      </c>
      <c r="N122" s="4"/>
      <c r="O122" s="42" t="s">
        <v>101</v>
      </c>
      <c r="P122" s="23">
        <v>90</v>
      </c>
      <c r="Q122" s="63" t="s">
        <v>288</v>
      </c>
      <c r="R122" s="42">
        <v>0</v>
      </c>
      <c r="S122" s="63"/>
      <c r="T122" s="63" t="s">
        <v>289</v>
      </c>
      <c r="U122" s="42" t="s">
        <v>492</v>
      </c>
      <c r="V122" s="63" t="s">
        <v>113</v>
      </c>
      <c r="W122" s="58">
        <v>4322001</v>
      </c>
      <c r="X122" s="42" t="s">
        <v>115</v>
      </c>
      <c r="Y122" s="42" t="s">
        <v>327</v>
      </c>
      <c r="Z122" s="23">
        <v>81</v>
      </c>
    </row>
    <row r="123" spans="1:26" x14ac:dyDescent="0.25">
      <c r="A123" s="65"/>
      <c r="B123" s="66"/>
      <c r="C123" s="66"/>
      <c r="D123" s="27" t="str" cm="1">
        <f t="array" ref="D123">IF(I123="---","---",SumHH((I123,L123),(M123,P123)))</f>
        <v>---</v>
      </c>
      <c r="E123" s="23" t="str">
        <f t="shared" si="3"/>
        <v>---</v>
      </c>
      <c r="F123" s="25">
        <f ca="1">IF(G123="DD",('Item Usage'!$D$101+L123)-(P123+M123),"---")</f>
        <v>44570</v>
      </c>
      <c r="G123" s="42" t="s">
        <v>79</v>
      </c>
      <c r="H123" s="42" t="s">
        <v>259</v>
      </c>
      <c r="I123" s="27" t="str">
        <f>_xlfn.XLOOKUP(G123,'Item Usage'!$B$59:$B$65,'Item Usage'!$D$59:$D$65,"---",0,1)</f>
        <v>---</v>
      </c>
      <c r="J123" s="23" t="str">
        <f>_xlfn.XLOOKUP(G123,'Item Usage'!$B$70:$B$100,'Item Usage'!$D$70:$D$100,"---",0,1)</f>
        <v>---</v>
      </c>
      <c r="K123" s="42" t="s">
        <v>492</v>
      </c>
      <c r="L123" s="23">
        <v>63</v>
      </c>
      <c r="M123" s="23">
        <v>0</v>
      </c>
      <c r="N123" s="4"/>
      <c r="O123" s="42" t="s">
        <v>218</v>
      </c>
      <c r="P123" s="23">
        <v>0</v>
      </c>
      <c r="Q123" s="63" t="s">
        <v>705</v>
      </c>
      <c r="R123" s="42">
        <v>0</v>
      </c>
      <c r="S123" s="63" t="s">
        <v>708</v>
      </c>
      <c r="T123" s="63" t="s">
        <v>706</v>
      </c>
      <c r="U123" s="42" t="s">
        <v>707</v>
      </c>
      <c r="V123" s="63" t="s">
        <v>709</v>
      </c>
      <c r="W123" s="58" t="s">
        <v>219</v>
      </c>
      <c r="X123" s="42" t="s">
        <v>195</v>
      </c>
      <c r="Y123" s="42" t="s">
        <v>328</v>
      </c>
      <c r="Z123" s="23">
        <v>0</v>
      </c>
    </row>
    <row r="124" spans="1:26" x14ac:dyDescent="0.25">
      <c r="A124" s="65"/>
      <c r="B124" s="66"/>
      <c r="C124" s="66"/>
      <c r="D124" s="27" t="str" cm="1">
        <f t="array" ref="D124">IF(I124="---","---",SumHH((I124,L124),(M124,P124)))</f>
        <v>---</v>
      </c>
      <c r="E124" s="23" t="str">
        <f t="shared" si="3"/>
        <v>---</v>
      </c>
      <c r="F124" s="25">
        <f ca="1">IF(G124="DD",('Item Usage'!$D$101+L124)-(P124+M124),"---")</f>
        <v>44571</v>
      </c>
      <c r="G124" s="42" t="s">
        <v>79</v>
      </c>
      <c r="H124" s="42" t="s">
        <v>259</v>
      </c>
      <c r="I124" s="27" t="str">
        <f>_xlfn.XLOOKUP(G124,'Item Usage'!$B$59:$B$65,'Item Usage'!$D$59:$D$65,"---",0,1)</f>
        <v>---</v>
      </c>
      <c r="J124" s="23" t="str">
        <f>_xlfn.XLOOKUP(G124,'Item Usage'!$B$70:$B$100,'Item Usage'!$D$70:$D$100,"---",0,1)</f>
        <v>---</v>
      </c>
      <c r="K124" s="42" t="s">
        <v>492</v>
      </c>
      <c r="L124" s="23">
        <v>64</v>
      </c>
      <c r="M124" s="23">
        <v>0</v>
      </c>
      <c r="N124" s="4"/>
      <c r="O124" s="42" t="s">
        <v>218</v>
      </c>
      <c r="P124" s="23">
        <v>0</v>
      </c>
      <c r="Q124" s="63" t="s">
        <v>705</v>
      </c>
      <c r="R124" s="42">
        <v>0</v>
      </c>
      <c r="S124" s="63" t="s">
        <v>708</v>
      </c>
      <c r="T124" s="63" t="s">
        <v>706</v>
      </c>
      <c r="U124" s="42" t="s">
        <v>711</v>
      </c>
      <c r="V124" s="63" t="s">
        <v>709</v>
      </c>
      <c r="W124" s="58" t="s">
        <v>219</v>
      </c>
      <c r="X124" s="42" t="s">
        <v>195</v>
      </c>
      <c r="Y124" s="42" t="s">
        <v>328</v>
      </c>
      <c r="Z124" s="23">
        <v>0</v>
      </c>
    </row>
    <row r="125" spans="1:26" x14ac:dyDescent="0.25">
      <c r="A125" s="65"/>
      <c r="B125" s="66"/>
      <c r="C125" s="66"/>
      <c r="D125" s="27" t="str" cm="1">
        <f t="array" ref="D125">IF(I125="---","---",SumHH((I125,L125),(M125,P125)))</f>
        <v>---</v>
      </c>
      <c r="E125" s="23" t="str">
        <f t="shared" si="3"/>
        <v>---</v>
      </c>
      <c r="F125" s="25">
        <f ca="1">IF(G125="DD",('Item Usage'!$D$101+L125)-(P125+M125),"---")</f>
        <v>44571</v>
      </c>
      <c r="G125" s="42" t="s">
        <v>79</v>
      </c>
      <c r="H125" s="42" t="s">
        <v>259</v>
      </c>
      <c r="I125" s="27" t="str">
        <f>_xlfn.XLOOKUP(G125,'Item Usage'!$B$59:$B$65,'Item Usage'!$D$59:$D$65,"---",0,1)</f>
        <v>---</v>
      </c>
      <c r="J125" s="23" t="str">
        <f>_xlfn.XLOOKUP(G125,'Item Usage'!$B$70:$B$100,'Item Usage'!$D$70:$D$100,"---",0,1)</f>
        <v>---</v>
      </c>
      <c r="K125" s="42" t="s">
        <v>492</v>
      </c>
      <c r="L125" s="23">
        <v>64</v>
      </c>
      <c r="M125" s="23">
        <v>0</v>
      </c>
      <c r="N125" s="4"/>
      <c r="O125" s="42" t="s">
        <v>218</v>
      </c>
      <c r="P125" s="23">
        <v>0</v>
      </c>
      <c r="Q125" s="63" t="s">
        <v>713</v>
      </c>
      <c r="R125" s="42">
        <v>0</v>
      </c>
      <c r="S125" s="63" t="s">
        <v>708</v>
      </c>
      <c r="T125" s="63" t="s">
        <v>714</v>
      </c>
      <c r="U125" s="42" t="s">
        <v>711</v>
      </c>
      <c r="V125" s="63" t="s">
        <v>709</v>
      </c>
      <c r="W125" s="58" t="s">
        <v>219</v>
      </c>
      <c r="X125" s="42" t="s">
        <v>195</v>
      </c>
      <c r="Y125" s="42" t="s">
        <v>328</v>
      </c>
      <c r="Z125" s="23">
        <v>0</v>
      </c>
    </row>
    <row r="126" spans="1:26" x14ac:dyDescent="0.25">
      <c r="A126" s="65"/>
      <c r="B126" s="66"/>
      <c r="C126" s="66"/>
      <c r="D126" s="27" t="str" cm="1">
        <f t="array" ref="D126">IF(I126="---","---",SumHH((I126,L126),(M126,P126)))</f>
        <v>---</v>
      </c>
      <c r="E126" s="23" t="str">
        <f t="shared" si="3"/>
        <v>---</v>
      </c>
      <c r="F126" s="25">
        <f ca="1">IF(G126="DD",('Item Usage'!$D$101+L126)-(P126+M126),"---")</f>
        <v>44571</v>
      </c>
      <c r="G126" s="42" t="s">
        <v>79</v>
      </c>
      <c r="H126" s="42" t="s">
        <v>259</v>
      </c>
      <c r="I126" s="27" t="str">
        <f>_xlfn.XLOOKUP(G126,'Item Usage'!$B$59:$B$65,'Item Usage'!$D$59:$D$65,"---",0,1)</f>
        <v>---</v>
      </c>
      <c r="J126" s="23" t="str">
        <f>_xlfn.XLOOKUP(G126,'Item Usage'!$B$70:$B$100,'Item Usage'!$D$70:$D$100,"---",0,1)</f>
        <v>---</v>
      </c>
      <c r="K126" s="42" t="s">
        <v>492</v>
      </c>
      <c r="L126" s="23">
        <v>64</v>
      </c>
      <c r="M126" s="23">
        <v>0</v>
      </c>
      <c r="N126" s="4"/>
      <c r="O126" s="42" t="s">
        <v>218</v>
      </c>
      <c r="P126" s="23">
        <v>0</v>
      </c>
      <c r="Q126" s="63" t="s">
        <v>713</v>
      </c>
      <c r="R126" s="42">
        <v>0</v>
      </c>
      <c r="S126" s="63" t="s">
        <v>708</v>
      </c>
      <c r="T126" s="63" t="s">
        <v>714</v>
      </c>
      <c r="U126" s="42" t="s">
        <v>707</v>
      </c>
      <c r="V126" s="63" t="s">
        <v>709</v>
      </c>
      <c r="W126" s="58" t="s">
        <v>219</v>
      </c>
      <c r="X126" s="42" t="s">
        <v>195</v>
      </c>
      <c r="Y126" s="42" t="s">
        <v>328</v>
      </c>
      <c r="Z126" s="23">
        <v>0</v>
      </c>
    </row>
    <row r="127" spans="1:26" x14ac:dyDescent="0.25">
      <c r="A127" s="65"/>
      <c r="B127" s="66"/>
      <c r="C127" s="66"/>
      <c r="D127" s="27" t="str" cm="1">
        <f t="array" ref="D127">IF(I127="---","---",SumHH((I127,L127),(M127,P127)))</f>
        <v>---</v>
      </c>
      <c r="E127" s="23" t="str">
        <f t="shared" si="3"/>
        <v>---</v>
      </c>
      <c r="F127" s="25">
        <f ca="1">IF(G127="DD",('Item Usage'!$D$101+L127)-(P127+M127),"---")</f>
        <v>44396</v>
      </c>
      <c r="G127" s="42" t="s">
        <v>79</v>
      </c>
      <c r="H127" s="42" t="s">
        <v>259</v>
      </c>
      <c r="I127" s="27" t="str">
        <f>_xlfn.XLOOKUP(G127,'Item Usage'!$B$59:$B$65,'Item Usage'!$D$59:$D$65,"---",0,1)</f>
        <v>---</v>
      </c>
      <c r="J127" s="23" t="str">
        <f>_xlfn.XLOOKUP(G127,'Item Usage'!$B$70:$B$100,'Item Usage'!$D$70:$D$100,"---",0,1)</f>
        <v>---</v>
      </c>
      <c r="K127" s="42" t="s">
        <v>492</v>
      </c>
      <c r="L127" s="23">
        <v>69</v>
      </c>
      <c r="M127" s="23">
        <v>0</v>
      </c>
      <c r="N127" s="4"/>
      <c r="O127" s="42" t="s">
        <v>101</v>
      </c>
      <c r="P127" s="23">
        <v>180</v>
      </c>
      <c r="Q127" s="63" t="s">
        <v>715</v>
      </c>
      <c r="R127" s="42">
        <v>0</v>
      </c>
      <c r="S127" s="63"/>
      <c r="T127" s="63" t="s">
        <v>716</v>
      </c>
      <c r="U127" s="42" t="s">
        <v>492</v>
      </c>
      <c r="V127" s="63" t="s">
        <v>113</v>
      </c>
      <c r="W127" s="58" t="s">
        <v>717</v>
      </c>
      <c r="X127" s="42" t="s">
        <v>115</v>
      </c>
      <c r="Y127" s="42" t="s">
        <v>327</v>
      </c>
      <c r="Z127" s="23">
        <v>166</v>
      </c>
    </row>
    <row r="128" spans="1:26" x14ac:dyDescent="0.25">
      <c r="A128" s="65"/>
      <c r="B128" s="66"/>
      <c r="C128" s="66"/>
      <c r="D128" s="27" t="str" cm="1">
        <f t="array" ref="D128">IF(I128="---","---",SumHH((I128,L128),(M128,P128)))</f>
        <v>---</v>
      </c>
      <c r="E128" s="23" t="str">
        <f t="shared" si="3"/>
        <v>---</v>
      </c>
      <c r="F128" s="25">
        <f ca="1">IF(G128="DD",('Item Usage'!$D$101+L128)-(P128+M128),"---")</f>
        <v>44396</v>
      </c>
      <c r="G128" s="42" t="s">
        <v>79</v>
      </c>
      <c r="H128" s="42" t="s">
        <v>259</v>
      </c>
      <c r="I128" s="27" t="str">
        <f>_xlfn.XLOOKUP(G128,'Item Usage'!$B$59:$B$65,'Item Usage'!$D$59:$D$65,"---",0,1)</f>
        <v>---</v>
      </c>
      <c r="J128" s="23" t="str">
        <f>_xlfn.XLOOKUP(G128,'Item Usage'!$B$70:$B$100,'Item Usage'!$D$70:$D$100,"---",0,1)</f>
        <v>---</v>
      </c>
      <c r="K128" s="42" t="s">
        <v>492</v>
      </c>
      <c r="L128" s="23">
        <v>69</v>
      </c>
      <c r="M128" s="23">
        <v>0</v>
      </c>
      <c r="N128" s="4"/>
      <c r="O128" s="42" t="s">
        <v>101</v>
      </c>
      <c r="P128" s="23">
        <v>180</v>
      </c>
      <c r="Q128" s="63" t="s">
        <v>720</v>
      </c>
      <c r="R128" s="42">
        <v>0</v>
      </c>
      <c r="S128" s="63"/>
      <c r="T128" s="63" t="s">
        <v>721</v>
      </c>
      <c r="U128" s="42" t="s">
        <v>492</v>
      </c>
      <c r="V128" s="63" t="s">
        <v>113</v>
      </c>
      <c r="W128" s="58" t="s">
        <v>722</v>
      </c>
      <c r="X128" s="42" t="s">
        <v>115</v>
      </c>
      <c r="Y128" s="42" t="s">
        <v>327</v>
      </c>
      <c r="Z128" s="23">
        <v>166</v>
      </c>
    </row>
    <row r="129" spans="1:26" x14ac:dyDescent="0.25">
      <c r="A129" s="65"/>
      <c r="B129" s="66"/>
      <c r="C129" s="66"/>
      <c r="D129" s="27" t="str" cm="1">
        <f t="array" ref="D129">IF(I129="---","---",SumHH((I129,L129),(M129,P129)))</f>
        <v>---</v>
      </c>
      <c r="E129" s="23" t="str">
        <f t="shared" si="3"/>
        <v>---</v>
      </c>
      <c r="F129" s="25">
        <f ca="1">IF(G129="DD",('Item Usage'!$D$101+L129)-(P129+M129),"---")</f>
        <v>44396</v>
      </c>
      <c r="G129" s="42" t="s">
        <v>79</v>
      </c>
      <c r="H129" s="42" t="s">
        <v>259</v>
      </c>
      <c r="I129" s="27" t="str">
        <f>_xlfn.XLOOKUP(G129,'Item Usage'!$B$59:$B$65,'Item Usage'!$D$59:$D$65,"---",0,1)</f>
        <v>---</v>
      </c>
      <c r="J129" s="23" t="str">
        <f>_xlfn.XLOOKUP(G129,'Item Usage'!$B$70:$B$100,'Item Usage'!$D$70:$D$100,"---",0,1)</f>
        <v>---</v>
      </c>
      <c r="K129" s="42" t="s">
        <v>492</v>
      </c>
      <c r="L129" s="23">
        <v>71</v>
      </c>
      <c r="M129" s="23">
        <v>0</v>
      </c>
      <c r="N129" s="4"/>
      <c r="O129" s="42" t="s">
        <v>101</v>
      </c>
      <c r="P129" s="23">
        <v>182</v>
      </c>
      <c r="Q129" s="63" t="s">
        <v>281</v>
      </c>
      <c r="R129" s="42">
        <v>0</v>
      </c>
      <c r="S129" s="63"/>
      <c r="T129" s="63" t="s">
        <v>282</v>
      </c>
      <c r="U129" s="42" t="s">
        <v>492</v>
      </c>
      <c r="V129" s="63" t="s">
        <v>113</v>
      </c>
      <c r="W129" s="58" t="s">
        <v>283</v>
      </c>
      <c r="X129" s="42" t="s">
        <v>115</v>
      </c>
      <c r="Y129" s="42" t="s">
        <v>327</v>
      </c>
      <c r="Z129" s="23">
        <v>168</v>
      </c>
    </row>
    <row r="130" spans="1:26" x14ac:dyDescent="0.25">
      <c r="A130" s="65"/>
      <c r="B130" s="66"/>
      <c r="C130" s="66"/>
      <c r="D130" s="27" t="str" cm="1">
        <f t="array" ref="D130">IF(I130="---","---",SumHH((I130,L130),(M130,P130)))</f>
        <v>---</v>
      </c>
      <c r="E130" s="23" t="str">
        <f t="shared" si="3"/>
        <v>---</v>
      </c>
      <c r="F130" s="25">
        <f ca="1">IF(G130="DD",('Item Usage'!$D$101+L130)-(P130+M130),"---")</f>
        <v>42394</v>
      </c>
      <c r="G130" s="42" t="s">
        <v>79</v>
      </c>
      <c r="H130" s="42" t="s">
        <v>259</v>
      </c>
      <c r="I130" s="27" t="str">
        <f>_xlfn.XLOOKUP(G130,'Item Usage'!$B$59:$B$65,'Item Usage'!$D$59:$D$65,"---",0,1)</f>
        <v>---</v>
      </c>
      <c r="J130" s="23" t="str">
        <f>_xlfn.XLOOKUP(G130,'Item Usage'!$B$70:$B$100,'Item Usage'!$D$70:$D$100,"---",0,1)</f>
        <v>---</v>
      </c>
      <c r="K130" s="42" t="s">
        <v>492</v>
      </c>
      <c r="L130" s="23">
        <v>71</v>
      </c>
      <c r="M130" s="23">
        <v>0</v>
      </c>
      <c r="N130" s="4"/>
      <c r="O130" s="42" t="s">
        <v>218</v>
      </c>
      <c r="P130" s="23">
        <v>2184</v>
      </c>
      <c r="Q130" s="63" t="s">
        <v>457</v>
      </c>
      <c r="R130" s="42">
        <v>0</v>
      </c>
      <c r="S130" s="63"/>
      <c r="T130" s="63" t="s">
        <v>458</v>
      </c>
      <c r="U130" s="42" t="s">
        <v>723</v>
      </c>
      <c r="V130" s="63" t="s">
        <v>459</v>
      </c>
      <c r="W130" s="58" t="s">
        <v>219</v>
      </c>
      <c r="X130" s="42" t="s">
        <v>115</v>
      </c>
      <c r="Y130" s="42" t="s">
        <v>328</v>
      </c>
      <c r="Z130" s="23">
        <v>2154</v>
      </c>
    </row>
    <row r="131" spans="1:26" x14ac:dyDescent="0.25">
      <c r="A131" s="65"/>
      <c r="B131" s="66"/>
      <c r="C131" s="66"/>
      <c r="D131" s="27" t="str" cm="1">
        <f t="array" ref="D131">IF(I131="---","---",SumHH((I131,L131),(M131,P131)))</f>
        <v>---</v>
      </c>
      <c r="E131" s="23" t="str">
        <f t="shared" si="3"/>
        <v>---</v>
      </c>
      <c r="F131" s="25">
        <f ca="1">IF(G131="DD",('Item Usage'!$D$101+L131)-(P131+M131),"---")</f>
        <v>42394</v>
      </c>
      <c r="G131" s="42" t="s">
        <v>79</v>
      </c>
      <c r="H131" s="42" t="s">
        <v>259</v>
      </c>
      <c r="I131" s="27" t="str">
        <f>_xlfn.XLOOKUP(G131,'Item Usage'!$B$59:$B$65,'Item Usage'!$D$59:$D$65,"---",0,1)</f>
        <v>---</v>
      </c>
      <c r="J131" s="23" t="str">
        <f>_xlfn.XLOOKUP(G131,'Item Usage'!$B$70:$B$100,'Item Usage'!$D$70:$D$100,"---",0,1)</f>
        <v>---</v>
      </c>
      <c r="K131" s="42" t="s">
        <v>492</v>
      </c>
      <c r="L131" s="23">
        <v>71</v>
      </c>
      <c r="M131" s="23">
        <v>0</v>
      </c>
      <c r="N131" s="4"/>
      <c r="O131" s="42" t="s">
        <v>218</v>
      </c>
      <c r="P131" s="23">
        <v>2184</v>
      </c>
      <c r="Q131" s="63" t="s">
        <v>457</v>
      </c>
      <c r="R131" s="42">
        <v>0</v>
      </c>
      <c r="S131" s="63"/>
      <c r="T131" s="63" t="s">
        <v>458</v>
      </c>
      <c r="U131" s="42" t="s">
        <v>725</v>
      </c>
      <c r="V131" s="63" t="s">
        <v>459</v>
      </c>
      <c r="W131" s="58" t="s">
        <v>219</v>
      </c>
      <c r="X131" s="42" t="s">
        <v>115</v>
      </c>
      <c r="Y131" s="42" t="s">
        <v>328</v>
      </c>
      <c r="Z131" s="23">
        <v>2154</v>
      </c>
    </row>
    <row r="132" spans="1:26" x14ac:dyDescent="0.25">
      <c r="A132" s="65"/>
      <c r="B132" s="66"/>
      <c r="C132" s="66"/>
      <c r="D132" s="27" t="str" cm="1">
        <f t="array" ref="D132">IF(I132="---","---",SumHH((I132,L132),(M132,P132)))</f>
        <v>---</v>
      </c>
      <c r="E132" s="23" t="str">
        <f t="shared" ref="E132:E163" si="4">IF(J132&lt;&gt;"---",($J132+$L132)-($P132+$M132),"---")</f>
        <v>---</v>
      </c>
      <c r="F132" s="25">
        <f ca="1">IF(G132="DD",('Item Usage'!$D$101+L132)-(P132+M132),"---")</f>
        <v>42394</v>
      </c>
      <c r="G132" s="42" t="s">
        <v>79</v>
      </c>
      <c r="H132" s="42" t="s">
        <v>259</v>
      </c>
      <c r="I132" s="27" t="str">
        <f>_xlfn.XLOOKUP(G132,'Item Usage'!$B$59:$B$65,'Item Usage'!$D$59:$D$65,"---",0,1)</f>
        <v>---</v>
      </c>
      <c r="J132" s="23" t="str">
        <f>_xlfn.XLOOKUP(G132,'Item Usage'!$B$70:$B$100,'Item Usage'!$D$70:$D$100,"---",0,1)</f>
        <v>---</v>
      </c>
      <c r="K132" s="42" t="s">
        <v>492</v>
      </c>
      <c r="L132" s="23">
        <v>71</v>
      </c>
      <c r="M132" s="23">
        <v>0</v>
      </c>
      <c r="N132" s="4"/>
      <c r="O132" s="42" t="s">
        <v>218</v>
      </c>
      <c r="P132" s="23">
        <v>2184</v>
      </c>
      <c r="Q132" s="63" t="s">
        <v>457</v>
      </c>
      <c r="R132" s="42">
        <v>0</v>
      </c>
      <c r="S132" s="63"/>
      <c r="T132" s="63" t="s">
        <v>458</v>
      </c>
      <c r="U132" s="42" t="s">
        <v>726</v>
      </c>
      <c r="V132" s="63" t="s">
        <v>459</v>
      </c>
      <c r="W132" s="58" t="s">
        <v>219</v>
      </c>
      <c r="X132" s="42" t="s">
        <v>115</v>
      </c>
      <c r="Y132" s="42" t="s">
        <v>328</v>
      </c>
      <c r="Z132" s="23">
        <v>2154</v>
      </c>
    </row>
    <row r="133" spans="1:26" x14ac:dyDescent="0.25">
      <c r="A133" s="65"/>
      <c r="B133" s="66"/>
      <c r="C133" s="66"/>
      <c r="D133" s="27" t="str" cm="1">
        <f t="array" ref="D133">IF(I133="---","---",SumHH((I133,L133),(M133,P133)))</f>
        <v>---</v>
      </c>
      <c r="E133" s="23" t="str">
        <f t="shared" si="4"/>
        <v>---</v>
      </c>
      <c r="F133" s="25">
        <f ca="1">IF(G133="DD",('Item Usage'!$D$101+L133)-(P133+M133),"---")</f>
        <v>42394</v>
      </c>
      <c r="G133" s="42" t="s">
        <v>79</v>
      </c>
      <c r="H133" s="42" t="s">
        <v>259</v>
      </c>
      <c r="I133" s="27" t="str">
        <f>_xlfn.XLOOKUP(G133,'Item Usage'!$B$59:$B$65,'Item Usage'!$D$59:$D$65,"---",0,1)</f>
        <v>---</v>
      </c>
      <c r="J133" s="23" t="str">
        <f>_xlfn.XLOOKUP(G133,'Item Usage'!$B$70:$B$100,'Item Usage'!$D$70:$D$100,"---",0,1)</f>
        <v>---</v>
      </c>
      <c r="K133" s="42" t="s">
        <v>492</v>
      </c>
      <c r="L133" s="23">
        <v>71</v>
      </c>
      <c r="M133" s="23">
        <v>0</v>
      </c>
      <c r="N133" s="4"/>
      <c r="O133" s="42" t="s">
        <v>218</v>
      </c>
      <c r="P133" s="23">
        <v>2184</v>
      </c>
      <c r="Q133" s="63" t="s">
        <v>457</v>
      </c>
      <c r="R133" s="42">
        <v>0</v>
      </c>
      <c r="S133" s="63"/>
      <c r="T133" s="63" t="s">
        <v>458</v>
      </c>
      <c r="U133" s="42" t="s">
        <v>727</v>
      </c>
      <c r="V133" s="63" t="s">
        <v>459</v>
      </c>
      <c r="W133" s="58" t="s">
        <v>219</v>
      </c>
      <c r="X133" s="42" t="s">
        <v>115</v>
      </c>
      <c r="Y133" s="42" t="s">
        <v>328</v>
      </c>
      <c r="Z133" s="23">
        <v>2154</v>
      </c>
    </row>
    <row r="134" spans="1:26" x14ac:dyDescent="0.25">
      <c r="A134" s="65"/>
      <c r="B134" s="66"/>
      <c r="C134" s="66"/>
      <c r="D134" s="27" t="str" cm="1">
        <f t="array" ref="D134">IF(I134="---","---",SumHH((I134,L134),(M134,P134)))</f>
        <v>---</v>
      </c>
      <c r="E134" s="23" t="str">
        <f t="shared" si="4"/>
        <v>---</v>
      </c>
      <c r="F134" s="25">
        <f ca="1">IF(G134="DD",('Item Usage'!$D$101+L134)-(P134+M134),"---")</f>
        <v>44404</v>
      </c>
      <c r="G134" s="42" t="s">
        <v>79</v>
      </c>
      <c r="H134" s="42" t="s">
        <v>259</v>
      </c>
      <c r="I134" s="27" t="str">
        <f>_xlfn.XLOOKUP(G134,'Item Usage'!$B$59:$B$65,'Item Usage'!$D$59:$D$65,"---",0,1)</f>
        <v>---</v>
      </c>
      <c r="J134" s="23" t="str">
        <f>_xlfn.XLOOKUP(G134,'Item Usage'!$B$70:$B$100,'Item Usage'!$D$70:$D$100,"---",0,1)</f>
        <v>---</v>
      </c>
      <c r="K134" s="42" t="s">
        <v>492</v>
      </c>
      <c r="L134" s="23">
        <v>79</v>
      </c>
      <c r="M134" s="23">
        <v>0</v>
      </c>
      <c r="N134" s="4"/>
      <c r="O134" s="42" t="s">
        <v>218</v>
      </c>
      <c r="P134" s="23">
        <v>182</v>
      </c>
      <c r="Q134" s="63" t="s">
        <v>450</v>
      </c>
      <c r="R134" s="42">
        <v>0</v>
      </c>
      <c r="S134" s="63" t="s">
        <v>161</v>
      </c>
      <c r="T134" s="63" t="s">
        <v>451</v>
      </c>
      <c r="U134" s="42" t="s">
        <v>728</v>
      </c>
      <c r="V134" s="63" t="s">
        <v>452</v>
      </c>
      <c r="W134" s="58" t="s">
        <v>219</v>
      </c>
      <c r="X134" s="42">
        <v>98230</v>
      </c>
      <c r="Y134" s="42" t="s">
        <v>328</v>
      </c>
      <c r="Z134" s="23">
        <v>164</v>
      </c>
    </row>
    <row r="135" spans="1:26" x14ac:dyDescent="0.25">
      <c r="A135" s="65"/>
      <c r="B135" s="66"/>
      <c r="C135" s="66"/>
      <c r="D135" s="27" t="str" cm="1">
        <f t="array" ref="D135">IF(I135="---","---",SumHH((I135,L135),(M135,P135)))</f>
        <v>---</v>
      </c>
      <c r="E135" s="23" t="str">
        <f t="shared" si="4"/>
        <v>---</v>
      </c>
      <c r="F135" s="25">
        <f ca="1">IF(G135="DD",('Item Usage'!$D$101+L135)-(P135+M135),"---")</f>
        <v>44405</v>
      </c>
      <c r="G135" s="42" t="s">
        <v>79</v>
      </c>
      <c r="H135" s="42" t="s">
        <v>259</v>
      </c>
      <c r="I135" s="27" t="str">
        <f>_xlfn.XLOOKUP(G135,'Item Usage'!$B$59:$B$65,'Item Usage'!$D$59:$D$65,"---",0,1)</f>
        <v>---</v>
      </c>
      <c r="J135" s="23" t="str">
        <f>_xlfn.XLOOKUP(G135,'Item Usage'!$B$70:$B$100,'Item Usage'!$D$70:$D$100,"---",0,1)</f>
        <v>---</v>
      </c>
      <c r="K135" s="42" t="s">
        <v>492</v>
      </c>
      <c r="L135" s="23">
        <v>80</v>
      </c>
      <c r="M135" s="23">
        <v>0</v>
      </c>
      <c r="N135" s="4"/>
      <c r="O135" s="42" t="s">
        <v>101</v>
      </c>
      <c r="P135" s="23">
        <v>182</v>
      </c>
      <c r="Q135" s="63" t="s">
        <v>730</v>
      </c>
      <c r="R135" s="42">
        <v>0</v>
      </c>
      <c r="S135" s="63"/>
      <c r="T135" s="63" t="s">
        <v>731</v>
      </c>
      <c r="U135" s="42" t="s">
        <v>492</v>
      </c>
      <c r="V135" s="63" t="s">
        <v>113</v>
      </c>
      <c r="W135" s="58">
        <v>1221003</v>
      </c>
      <c r="X135" s="42" t="s">
        <v>115</v>
      </c>
      <c r="Y135" s="42" t="s">
        <v>327</v>
      </c>
      <c r="Z135" s="23">
        <v>167</v>
      </c>
    </row>
    <row r="136" spans="1:26" x14ac:dyDescent="0.25">
      <c r="A136" s="65"/>
      <c r="B136" s="66"/>
      <c r="C136" s="66"/>
      <c r="D136" s="27" t="str" cm="1">
        <f t="array" ref="D136">IF(I136="---","---",SumHH((I136,L136),(M136,P136)))</f>
        <v>---</v>
      </c>
      <c r="E136" s="23" t="str">
        <f t="shared" si="4"/>
        <v>---</v>
      </c>
      <c r="F136" s="25">
        <f ca="1">IF(G136="DD",('Item Usage'!$D$101+L136)-(P136+M136),"---")</f>
        <v>44231</v>
      </c>
      <c r="G136" s="42" t="s">
        <v>79</v>
      </c>
      <c r="H136" s="42" t="s">
        <v>259</v>
      </c>
      <c r="I136" s="27" t="str">
        <f>_xlfn.XLOOKUP(G136,'Item Usage'!$B$59:$B$65,'Item Usage'!$D$59:$D$65,"---",0,1)</f>
        <v>---</v>
      </c>
      <c r="J136" s="23" t="str">
        <f>_xlfn.XLOOKUP(G136,'Item Usage'!$B$70:$B$100,'Item Usage'!$D$70:$D$100,"---",0,1)</f>
        <v>---</v>
      </c>
      <c r="K136" s="42" t="s">
        <v>492</v>
      </c>
      <c r="L136" s="23">
        <v>88</v>
      </c>
      <c r="M136" s="23">
        <v>0</v>
      </c>
      <c r="N136" s="4"/>
      <c r="O136" s="42" t="s">
        <v>101</v>
      </c>
      <c r="P136" s="23">
        <v>364</v>
      </c>
      <c r="Q136" s="63" t="s">
        <v>733</v>
      </c>
      <c r="R136" s="42">
        <v>0</v>
      </c>
      <c r="S136" s="63"/>
      <c r="T136" s="63" t="s">
        <v>734</v>
      </c>
      <c r="U136" s="42" t="s">
        <v>505</v>
      </c>
      <c r="V136" s="63" t="s">
        <v>105</v>
      </c>
      <c r="W136" s="58">
        <v>7920003</v>
      </c>
      <c r="X136" s="42">
        <v>64643</v>
      </c>
      <c r="Y136" s="42" t="s">
        <v>326</v>
      </c>
      <c r="Z136" s="23">
        <v>334</v>
      </c>
    </row>
    <row r="137" spans="1:26" x14ac:dyDescent="0.25">
      <c r="A137" s="65"/>
      <c r="B137" s="66"/>
      <c r="C137" s="66"/>
      <c r="D137" s="27" t="str" cm="1">
        <f t="array" ref="D137">IF(I137="---","---",SumHH((I137,L137),(M137,P137)))</f>
        <v>---</v>
      </c>
      <c r="E137" s="23" t="str">
        <f t="shared" si="4"/>
        <v>---</v>
      </c>
      <c r="F137" s="25">
        <f ca="1">IF(G137="DD",('Item Usage'!$D$101+L137)-(P137+M137),"---")</f>
        <v>44231</v>
      </c>
      <c r="G137" s="42" t="s">
        <v>79</v>
      </c>
      <c r="H137" s="42" t="s">
        <v>259</v>
      </c>
      <c r="I137" s="27" t="str">
        <f>_xlfn.XLOOKUP(G137,'Item Usage'!$B$59:$B$65,'Item Usage'!$D$59:$D$65,"---",0,1)</f>
        <v>---</v>
      </c>
      <c r="J137" s="23" t="str">
        <f>_xlfn.XLOOKUP(G137,'Item Usage'!$B$70:$B$100,'Item Usage'!$D$70:$D$100,"---",0,1)</f>
        <v>---</v>
      </c>
      <c r="K137" s="42" t="s">
        <v>492</v>
      </c>
      <c r="L137" s="23">
        <v>88</v>
      </c>
      <c r="M137" s="23">
        <v>0</v>
      </c>
      <c r="N137" s="4"/>
      <c r="O137" s="42" t="s">
        <v>101</v>
      </c>
      <c r="P137" s="23">
        <v>364</v>
      </c>
      <c r="Q137" s="63" t="s">
        <v>448</v>
      </c>
      <c r="R137" s="42">
        <v>0</v>
      </c>
      <c r="S137" s="63"/>
      <c r="T137" s="63" t="s">
        <v>449</v>
      </c>
      <c r="U137" s="42" t="s">
        <v>492</v>
      </c>
      <c r="V137" s="63" t="s">
        <v>113</v>
      </c>
      <c r="W137" s="58">
        <v>6710003</v>
      </c>
      <c r="X137" s="42" t="s">
        <v>115</v>
      </c>
      <c r="Y137" s="42" t="s">
        <v>327</v>
      </c>
      <c r="Z137" s="23">
        <v>334</v>
      </c>
    </row>
    <row r="138" spans="1:26" x14ac:dyDescent="0.25">
      <c r="A138" s="65"/>
      <c r="B138" s="66"/>
      <c r="C138" s="66"/>
      <c r="D138" s="27" t="str" cm="1">
        <f t="array" ref="D138">IF(I138="---","---",SumHH((I138,L138),(M138,P138)))</f>
        <v>---</v>
      </c>
      <c r="E138" s="23" t="str">
        <f t="shared" si="4"/>
        <v>---</v>
      </c>
      <c r="F138" s="25">
        <f ca="1">IF(G138="DD",('Item Usage'!$D$101+L138)-(P138+M138),"---")</f>
        <v>44231</v>
      </c>
      <c r="G138" s="42" t="s">
        <v>79</v>
      </c>
      <c r="H138" s="42" t="s">
        <v>259</v>
      </c>
      <c r="I138" s="27" t="str">
        <f>_xlfn.XLOOKUP(G138,'Item Usage'!$B$59:$B$65,'Item Usage'!$D$59:$D$65,"---",0,1)</f>
        <v>---</v>
      </c>
      <c r="J138" s="23" t="str">
        <f>_xlfn.XLOOKUP(G138,'Item Usage'!$B$70:$B$100,'Item Usage'!$D$70:$D$100,"---",0,1)</f>
        <v>---</v>
      </c>
      <c r="K138" s="42" t="s">
        <v>492</v>
      </c>
      <c r="L138" s="23">
        <v>88</v>
      </c>
      <c r="M138" s="23">
        <v>0</v>
      </c>
      <c r="N138" s="4"/>
      <c r="O138" s="42" t="s">
        <v>101</v>
      </c>
      <c r="P138" s="23">
        <v>364</v>
      </c>
      <c r="Q138" s="63" t="s">
        <v>736</v>
      </c>
      <c r="R138" s="42">
        <v>0</v>
      </c>
      <c r="S138" s="63"/>
      <c r="T138" s="63" t="s">
        <v>737</v>
      </c>
      <c r="U138" s="42" t="s">
        <v>492</v>
      </c>
      <c r="V138" s="63" t="s">
        <v>113</v>
      </c>
      <c r="W138" s="58">
        <v>9561012</v>
      </c>
      <c r="X138" s="42" t="s">
        <v>115</v>
      </c>
      <c r="Y138" s="42" t="s">
        <v>327</v>
      </c>
      <c r="Z138" s="23">
        <v>334</v>
      </c>
    </row>
    <row r="139" spans="1:26" x14ac:dyDescent="0.25">
      <c r="A139" s="65"/>
      <c r="B139" s="66"/>
      <c r="C139" s="66"/>
      <c r="D139" s="27" t="str" cm="1">
        <f t="array" ref="D139">IF(I139="---","---",SumHH((I139,L139),(M139,P139)))</f>
        <v>---</v>
      </c>
      <c r="E139" s="23" t="str">
        <f t="shared" si="4"/>
        <v>---</v>
      </c>
      <c r="F139" s="25">
        <f ca="1">IF(G139="DD",('Item Usage'!$D$101+L139)-(P139+M139),"---")</f>
        <v>44231</v>
      </c>
      <c r="G139" s="42" t="s">
        <v>79</v>
      </c>
      <c r="H139" s="42" t="s">
        <v>259</v>
      </c>
      <c r="I139" s="27" t="str">
        <f>_xlfn.XLOOKUP(G139,'Item Usage'!$B$59:$B$65,'Item Usage'!$D$59:$D$65,"---",0,1)</f>
        <v>---</v>
      </c>
      <c r="J139" s="23" t="str">
        <f>_xlfn.XLOOKUP(G139,'Item Usage'!$B$70:$B$100,'Item Usage'!$D$70:$D$100,"---",0,1)</f>
        <v>---</v>
      </c>
      <c r="K139" s="42" t="s">
        <v>492</v>
      </c>
      <c r="L139" s="23">
        <v>89</v>
      </c>
      <c r="M139" s="23">
        <v>0</v>
      </c>
      <c r="N139" s="4"/>
      <c r="O139" s="42" t="s">
        <v>101</v>
      </c>
      <c r="P139" s="23">
        <v>365</v>
      </c>
      <c r="Q139" s="63" t="s">
        <v>739</v>
      </c>
      <c r="R139" s="42">
        <v>0</v>
      </c>
      <c r="S139" s="63"/>
      <c r="T139" s="63" t="s">
        <v>740</v>
      </c>
      <c r="U139" s="42" t="s">
        <v>741</v>
      </c>
      <c r="V139" s="63" t="s">
        <v>743</v>
      </c>
      <c r="W139" s="58">
        <v>6730002</v>
      </c>
      <c r="X139" s="42" t="s">
        <v>115</v>
      </c>
      <c r="Y139" s="42" t="s">
        <v>328</v>
      </c>
      <c r="Z139" s="23">
        <v>335</v>
      </c>
    </row>
    <row r="140" spans="1:26" x14ac:dyDescent="0.25">
      <c r="A140" s="65"/>
      <c r="B140" s="66"/>
      <c r="C140" s="66"/>
      <c r="D140" s="27" t="str" cm="1">
        <f t="array" ref="D140">IF(I140="---","---",SumHH((I140,L140),(M140,P140)))</f>
        <v>---</v>
      </c>
      <c r="E140" s="23" t="str">
        <f t="shared" si="4"/>
        <v>---</v>
      </c>
      <c r="F140" s="25" t="str">
        <f>IF(G140="DD",('Item Usage'!$D$101+L140)-(P140+M140),"---")</f>
        <v>---</v>
      </c>
      <c r="G140" s="42"/>
      <c r="H140" s="42"/>
      <c r="I140" s="27" t="str">
        <f>_xlfn.XLOOKUP(G140,'Item Usage'!$B$59:$B$65,'Item Usage'!$D$59:$D$65,"---",0,1)</f>
        <v>---</v>
      </c>
      <c r="J140" s="23" t="str">
        <f>_xlfn.XLOOKUP(G140,'Item Usage'!$B$70:$B$100,'Item Usage'!$D$70:$D$100,"---",0,1)</f>
        <v>---</v>
      </c>
      <c r="K140" s="42"/>
      <c r="L140" s="23"/>
      <c r="M140" s="23"/>
      <c r="N140" s="4"/>
      <c r="O140" s="42"/>
      <c r="P140" s="23"/>
      <c r="Q140" s="63"/>
      <c r="R140" s="42"/>
      <c r="S140" s="63"/>
      <c r="T140" s="63"/>
      <c r="U140" s="42"/>
      <c r="V140" s="63"/>
      <c r="W140" s="58"/>
      <c r="X140" s="42"/>
      <c r="Y140" s="42"/>
      <c r="Z140" s="23"/>
    </row>
    <row r="141" spans="1:26" x14ac:dyDescent="0.25">
      <c r="A141" s="65"/>
      <c r="B141" s="66"/>
      <c r="C141" s="66"/>
      <c r="D141" s="27" t="str" cm="1">
        <f t="array" ref="D141">IF(I141="---","---",SumHH((I141,L141),(M141,P141)))</f>
        <v>---</v>
      </c>
      <c r="E141" s="23" t="str">
        <f t="shared" si="4"/>
        <v>---</v>
      </c>
      <c r="F141" s="25" t="str">
        <f>IF(G141="DD",('Item Usage'!$D$101+L141)-(P141+M141),"---")</f>
        <v>---</v>
      </c>
      <c r="G141" s="42"/>
      <c r="H141" s="42"/>
      <c r="I141" s="27" t="str">
        <f>_xlfn.XLOOKUP(G141,'Item Usage'!$B$59:$B$65,'Item Usage'!$D$59:$D$65,"---",0,1)</f>
        <v>---</v>
      </c>
      <c r="J141" s="23" t="str">
        <f>_xlfn.XLOOKUP(G141,'Item Usage'!$B$70:$B$100,'Item Usage'!$D$70:$D$100,"---",0,1)</f>
        <v>---</v>
      </c>
      <c r="K141" s="42"/>
      <c r="L141" s="23"/>
      <c r="M141" s="23"/>
      <c r="N141" s="4"/>
      <c r="O141" s="42"/>
      <c r="P141" s="23"/>
      <c r="Q141" s="63"/>
      <c r="R141" s="42"/>
      <c r="S141" s="63"/>
      <c r="T141" s="63"/>
      <c r="U141" s="42"/>
      <c r="V141" s="63"/>
      <c r="W141" s="58"/>
      <c r="X141" s="42"/>
      <c r="Y141" s="42"/>
      <c r="Z141" s="23"/>
    </row>
    <row r="142" spans="1:26" x14ac:dyDescent="0.25">
      <c r="A142" s="65"/>
      <c r="B142" s="66"/>
      <c r="C142" s="66"/>
      <c r="D142" s="27" t="str" cm="1">
        <f t="array" ref="D142">IF(I142="---","---",SumHH((I142,L142),(M142,P142)))</f>
        <v>---</v>
      </c>
      <c r="E142" s="23" t="str">
        <f t="shared" si="4"/>
        <v>---</v>
      </c>
      <c r="F142" s="25" t="str">
        <f>IF(G142="DD",('Item Usage'!$D$101+L142)-(P142+M142),"---")</f>
        <v>---</v>
      </c>
      <c r="G142" s="42"/>
      <c r="H142" s="42"/>
      <c r="I142" s="27" t="str">
        <f>_xlfn.XLOOKUP(G142,'Item Usage'!$B$59:$B$65,'Item Usage'!$D$59:$D$65,"---",0,1)</f>
        <v>---</v>
      </c>
      <c r="J142" s="23" t="str">
        <f>_xlfn.XLOOKUP(G142,'Item Usage'!$B$70:$B$100,'Item Usage'!$D$70:$D$100,"---",0,1)</f>
        <v>---</v>
      </c>
      <c r="K142" s="42"/>
      <c r="L142" s="23"/>
      <c r="M142" s="23"/>
      <c r="N142" s="4"/>
      <c r="O142" s="42"/>
      <c r="P142" s="23"/>
      <c r="Q142" s="63"/>
      <c r="R142" s="42"/>
      <c r="S142" s="63"/>
      <c r="T142" s="63"/>
      <c r="U142" s="42"/>
      <c r="V142" s="63"/>
      <c r="W142" s="58"/>
      <c r="X142" s="42"/>
      <c r="Y142" s="42"/>
      <c r="Z142" s="23"/>
    </row>
    <row r="143" spans="1:26" x14ac:dyDescent="0.25">
      <c r="A143" s="65"/>
      <c r="B143" s="66"/>
      <c r="C143" s="66"/>
      <c r="D143" s="27" t="str" cm="1">
        <f t="array" ref="D143">IF(I143="---","---",SumHH((I143,L143),(M143,P143)))</f>
        <v>---</v>
      </c>
      <c r="E143" s="23" t="str">
        <f t="shared" si="4"/>
        <v>---</v>
      </c>
      <c r="F143" s="25" t="str">
        <f>IF(G143="DD",('Item Usage'!$D$101+L143)-(P143+M143),"---")</f>
        <v>---</v>
      </c>
      <c r="G143" s="42"/>
      <c r="H143" s="42"/>
      <c r="I143" s="27" t="str">
        <f>_xlfn.XLOOKUP(G143,'Item Usage'!$B$59:$B$65,'Item Usage'!$D$59:$D$65,"---",0,1)</f>
        <v>---</v>
      </c>
      <c r="J143" s="23" t="str">
        <f>_xlfn.XLOOKUP(G143,'Item Usage'!$B$70:$B$100,'Item Usage'!$D$70:$D$100,"---",0,1)</f>
        <v>---</v>
      </c>
      <c r="K143" s="42"/>
      <c r="L143" s="23"/>
      <c r="M143" s="23"/>
      <c r="N143" s="4"/>
      <c r="O143" s="42"/>
      <c r="P143" s="23"/>
      <c r="Q143" s="63"/>
      <c r="R143" s="42"/>
      <c r="S143" s="63"/>
      <c r="T143" s="63"/>
      <c r="U143" s="42"/>
      <c r="V143" s="63"/>
      <c r="W143" s="58"/>
      <c r="X143" s="42"/>
      <c r="Y143" s="42"/>
      <c r="Z143" s="23"/>
    </row>
    <row r="144" spans="1:26" x14ac:dyDescent="0.25">
      <c r="A144" s="65"/>
      <c r="B144" s="66"/>
      <c r="C144" s="66"/>
      <c r="D144" s="27" t="str" cm="1">
        <f t="array" ref="D144">IF(I144="---","---",SumHH((I144,L144),(M144,P144)))</f>
        <v>---</v>
      </c>
      <c r="E144" s="23" t="str">
        <f t="shared" si="4"/>
        <v>---</v>
      </c>
      <c r="F144" s="25" t="str">
        <f>IF(G144="DD",('Item Usage'!$D$101+L144)-(P144+M144),"---")</f>
        <v>---</v>
      </c>
      <c r="G144" s="42"/>
      <c r="H144" s="42"/>
      <c r="I144" s="27" t="str">
        <f>_xlfn.XLOOKUP(G144,'Item Usage'!$B$59:$B$65,'Item Usage'!$D$59:$D$65,"---",0,1)</f>
        <v>---</v>
      </c>
      <c r="J144" s="23" t="str">
        <f>_xlfn.XLOOKUP(G144,'Item Usage'!$B$70:$B$100,'Item Usage'!$D$70:$D$100,"---",0,1)</f>
        <v>---</v>
      </c>
      <c r="K144" s="42"/>
      <c r="L144" s="23"/>
      <c r="M144" s="23"/>
      <c r="N144" s="4"/>
      <c r="O144" s="42"/>
      <c r="P144" s="23"/>
      <c r="Q144" s="63"/>
      <c r="R144" s="42"/>
      <c r="S144" s="63"/>
      <c r="T144" s="63"/>
      <c r="U144" s="42"/>
      <c r="V144" s="63"/>
      <c r="W144" s="58"/>
      <c r="X144" s="42"/>
      <c r="Y144" s="42"/>
      <c r="Z144" s="23"/>
    </row>
    <row r="145" spans="1:26" x14ac:dyDescent="0.25">
      <c r="A145" s="65"/>
      <c r="B145" s="66"/>
      <c r="C145" s="66"/>
      <c r="D145" s="27" t="str" cm="1">
        <f t="array" ref="D145">IF(I145="---","---",SumHH((I145,L145),(M145,P145)))</f>
        <v>---</v>
      </c>
      <c r="E145" s="23" t="str">
        <f t="shared" si="4"/>
        <v>---</v>
      </c>
      <c r="F145" s="25" t="str">
        <f>IF(G145="DD",('Item Usage'!$D$101+L145)-(P145+M145),"---")</f>
        <v>---</v>
      </c>
      <c r="G145" s="42"/>
      <c r="H145" s="42"/>
      <c r="I145" s="27" t="str">
        <f>_xlfn.XLOOKUP(G145,'Item Usage'!$B$59:$B$65,'Item Usage'!$D$59:$D$65,"---",0,1)</f>
        <v>---</v>
      </c>
      <c r="J145" s="23" t="str">
        <f>_xlfn.XLOOKUP(G145,'Item Usage'!$B$70:$B$100,'Item Usage'!$D$70:$D$100,"---",0,1)</f>
        <v>---</v>
      </c>
      <c r="K145" s="42"/>
      <c r="L145" s="23"/>
      <c r="M145" s="23"/>
      <c r="N145" s="4"/>
      <c r="O145" s="42"/>
      <c r="P145" s="23"/>
      <c r="Q145" s="63"/>
      <c r="R145" s="42"/>
      <c r="S145" s="63"/>
      <c r="T145" s="63"/>
      <c r="U145" s="42"/>
      <c r="V145" s="63"/>
      <c r="W145" s="58"/>
      <c r="X145" s="42"/>
      <c r="Y145" s="42"/>
      <c r="Z145" s="23"/>
    </row>
    <row r="146" spans="1:26" x14ac:dyDescent="0.25">
      <c r="A146" s="65"/>
      <c r="B146" s="66"/>
      <c r="C146" s="66"/>
      <c r="D146" s="27" t="str" cm="1">
        <f t="array" ref="D146">IF(I146="---","---",SumHH((I146,L146),(M146,P146)))</f>
        <v>---</v>
      </c>
      <c r="E146" s="23" t="str">
        <f t="shared" si="4"/>
        <v>---</v>
      </c>
      <c r="F146" s="25" t="str">
        <f>IF(G146="DD",('Item Usage'!$D$101+L146)-(P146+M146),"---")</f>
        <v>---</v>
      </c>
      <c r="G146" s="42"/>
      <c r="H146" s="42"/>
      <c r="I146" s="27" t="str">
        <f>_xlfn.XLOOKUP(G146,'Item Usage'!$B$59:$B$65,'Item Usage'!$D$59:$D$65,"---",0,1)</f>
        <v>---</v>
      </c>
      <c r="J146" s="23" t="str">
        <f>_xlfn.XLOOKUP(G146,'Item Usage'!$B$70:$B$100,'Item Usage'!$D$70:$D$100,"---",0,1)</f>
        <v>---</v>
      </c>
      <c r="K146" s="42"/>
      <c r="L146" s="23"/>
      <c r="M146" s="23"/>
      <c r="N146" s="4"/>
      <c r="O146" s="42"/>
      <c r="P146" s="23"/>
      <c r="Q146" s="63"/>
      <c r="R146" s="42"/>
      <c r="S146" s="63"/>
      <c r="T146" s="63"/>
      <c r="U146" s="42"/>
      <c r="V146" s="63"/>
      <c r="W146" s="58"/>
      <c r="X146" s="42"/>
      <c r="Y146" s="42"/>
      <c r="Z146" s="23"/>
    </row>
    <row r="147" spans="1:26" x14ac:dyDescent="0.25">
      <c r="A147" s="65"/>
      <c r="B147" s="66"/>
      <c r="C147" s="66"/>
      <c r="D147" s="27" t="str" cm="1">
        <f t="array" ref="D147">IF(I147="---","---",SumHH((I147,L147),(M147,P147)))</f>
        <v>---</v>
      </c>
      <c r="E147" s="23" t="str">
        <f t="shared" si="4"/>
        <v>---</v>
      </c>
      <c r="F147" s="25" t="str">
        <f>IF(G147="DD",('Item Usage'!$D$101+L147)-(P147+M147),"---")</f>
        <v>---</v>
      </c>
      <c r="G147" s="42"/>
      <c r="H147" s="42"/>
      <c r="I147" s="27" t="str">
        <f>_xlfn.XLOOKUP(G147,'Item Usage'!$B$59:$B$65,'Item Usage'!$D$59:$D$65,"---",0,1)</f>
        <v>---</v>
      </c>
      <c r="J147" s="23" t="str">
        <f>_xlfn.XLOOKUP(G147,'Item Usage'!$B$70:$B$100,'Item Usage'!$D$70:$D$100,"---",0,1)</f>
        <v>---</v>
      </c>
      <c r="K147" s="42"/>
      <c r="L147" s="23"/>
      <c r="M147" s="23"/>
      <c r="N147" s="4"/>
      <c r="O147" s="42"/>
      <c r="P147" s="23"/>
      <c r="Q147" s="63"/>
      <c r="R147" s="42"/>
      <c r="S147" s="63"/>
      <c r="T147" s="63"/>
      <c r="U147" s="42"/>
      <c r="V147" s="63"/>
      <c r="W147" s="58"/>
      <c r="X147" s="42"/>
      <c r="Y147" s="42"/>
      <c r="Z147" s="23"/>
    </row>
    <row r="148" spans="1:26" x14ac:dyDescent="0.25">
      <c r="A148" s="65"/>
      <c r="B148" s="66"/>
      <c r="C148" s="66"/>
      <c r="D148" s="27" t="str" cm="1">
        <f t="array" ref="D148">IF(I148="---","---",SumHH((I148,L148),(M148,P148)))</f>
        <v>---</v>
      </c>
      <c r="E148" s="23" t="str">
        <f t="shared" si="4"/>
        <v>---</v>
      </c>
      <c r="F148" s="25" t="str">
        <f>IF(G148="DD",('Item Usage'!$D$101+L148)-(P148+M148),"---")</f>
        <v>---</v>
      </c>
      <c r="G148" s="42"/>
      <c r="H148" s="42"/>
      <c r="I148" s="27" t="str">
        <f>_xlfn.XLOOKUP(G148,'Item Usage'!$B$59:$B$65,'Item Usage'!$D$59:$D$65,"---",0,1)</f>
        <v>---</v>
      </c>
      <c r="J148" s="23" t="str">
        <f>_xlfn.XLOOKUP(G148,'Item Usage'!$B$70:$B$100,'Item Usage'!$D$70:$D$100,"---",0,1)</f>
        <v>---</v>
      </c>
      <c r="K148" s="42"/>
      <c r="L148" s="23"/>
      <c r="M148" s="23"/>
      <c r="N148" s="4"/>
      <c r="O148" s="42"/>
      <c r="P148" s="23"/>
      <c r="Q148" s="63"/>
      <c r="R148" s="42"/>
      <c r="S148" s="63"/>
      <c r="T148" s="63"/>
      <c r="U148" s="42"/>
      <c r="V148" s="63"/>
      <c r="W148" s="58"/>
      <c r="X148" s="42"/>
      <c r="Y148" s="42"/>
      <c r="Z148" s="23"/>
    </row>
    <row r="149" spans="1:26" x14ac:dyDescent="0.25">
      <c r="A149" s="65"/>
      <c r="B149" s="66"/>
      <c r="C149" s="66"/>
      <c r="D149" s="27" t="str" cm="1">
        <f t="array" ref="D149">IF(I149="---","---",SumHH((I149,L149),(M149,P149)))</f>
        <v>---</v>
      </c>
      <c r="E149" s="23" t="str">
        <f t="shared" si="4"/>
        <v>---</v>
      </c>
      <c r="F149" s="25" t="str">
        <f>IF(G149="DD",('Item Usage'!$D$101+L149)-(P149+M149),"---")</f>
        <v>---</v>
      </c>
      <c r="G149" s="42"/>
      <c r="H149" s="42"/>
      <c r="I149" s="27" t="str">
        <f>_xlfn.XLOOKUP(G149,'Item Usage'!$B$59:$B$65,'Item Usage'!$D$59:$D$65,"---",0,1)</f>
        <v>---</v>
      </c>
      <c r="J149" s="23" t="str">
        <f>_xlfn.XLOOKUP(G149,'Item Usage'!$B$70:$B$100,'Item Usage'!$D$70:$D$100,"---",0,1)</f>
        <v>---</v>
      </c>
      <c r="K149" s="42"/>
      <c r="L149" s="23"/>
      <c r="M149" s="23"/>
      <c r="N149" s="4"/>
      <c r="O149" s="42"/>
      <c r="P149" s="23"/>
      <c r="Q149" s="63"/>
      <c r="R149" s="42"/>
      <c r="S149" s="63"/>
      <c r="T149" s="63"/>
      <c r="U149" s="42"/>
      <c r="V149" s="63"/>
      <c r="W149" s="58"/>
      <c r="X149" s="42"/>
      <c r="Y149" s="42"/>
      <c r="Z149" s="23"/>
    </row>
    <row r="150" spans="1:26" x14ac:dyDescent="0.25">
      <c r="A150" s="65"/>
      <c r="B150" s="66"/>
      <c r="C150" s="66"/>
      <c r="D150" s="27" t="str" cm="1">
        <f t="array" ref="D150">IF(I150="---","---",SumHH((I150,L150),(M150,P150)))</f>
        <v>---</v>
      </c>
      <c r="E150" s="23" t="str">
        <f t="shared" si="4"/>
        <v>---</v>
      </c>
      <c r="F150" s="25" t="str">
        <f>IF(G150="DD",('Item Usage'!$D$101+L150)-(P150+M150),"---")</f>
        <v>---</v>
      </c>
      <c r="G150" s="42"/>
      <c r="H150" s="42"/>
      <c r="I150" s="27" t="str">
        <f>_xlfn.XLOOKUP(G150,'Item Usage'!$B$59:$B$65,'Item Usage'!$D$59:$D$65,"---",0,1)</f>
        <v>---</v>
      </c>
      <c r="J150" s="23" t="str">
        <f>_xlfn.XLOOKUP(G150,'Item Usage'!$B$70:$B$100,'Item Usage'!$D$70:$D$100,"---",0,1)</f>
        <v>---</v>
      </c>
      <c r="K150" s="42"/>
      <c r="L150" s="23"/>
      <c r="M150" s="23"/>
      <c r="N150" s="4"/>
      <c r="O150" s="42"/>
      <c r="P150" s="23"/>
      <c r="Q150" s="63"/>
      <c r="R150" s="42"/>
      <c r="S150" s="63"/>
      <c r="T150" s="63"/>
      <c r="U150" s="42"/>
      <c r="V150" s="63"/>
      <c r="W150" s="58"/>
      <c r="X150" s="42"/>
      <c r="Y150" s="42"/>
      <c r="Z150" s="23"/>
    </row>
    <row r="151" spans="1:26" x14ac:dyDescent="0.25">
      <c r="A151" s="65"/>
      <c r="B151" s="66"/>
      <c r="C151" s="66"/>
      <c r="D151" s="27" t="str" cm="1">
        <f t="array" ref="D151">IF(I151="---","---",SumHH((I151,L151),(M151,P151)))</f>
        <v>---</v>
      </c>
      <c r="E151" s="23" t="str">
        <f t="shared" si="4"/>
        <v>---</v>
      </c>
      <c r="F151" s="25" t="str">
        <f>IF(G151="DD",('Item Usage'!$D$101+L151)-(P151+M151),"---")</f>
        <v>---</v>
      </c>
      <c r="G151" s="42"/>
      <c r="H151" s="42"/>
      <c r="I151" s="27" t="str">
        <f>_xlfn.XLOOKUP(G151,'Item Usage'!$B$59:$B$65,'Item Usage'!$D$59:$D$65,"---",0,1)</f>
        <v>---</v>
      </c>
      <c r="J151" s="23" t="str">
        <f>_xlfn.XLOOKUP(G151,'Item Usage'!$B$70:$B$100,'Item Usage'!$D$70:$D$100,"---",0,1)</f>
        <v>---</v>
      </c>
      <c r="K151" s="42"/>
      <c r="L151" s="23"/>
      <c r="M151" s="23"/>
      <c r="N151" s="4"/>
      <c r="O151" s="42"/>
      <c r="P151" s="23"/>
      <c r="Q151" s="63"/>
      <c r="R151" s="42"/>
      <c r="S151" s="63"/>
      <c r="T151" s="63"/>
      <c r="U151" s="42"/>
      <c r="V151" s="63"/>
      <c r="W151" s="58"/>
      <c r="X151" s="42"/>
      <c r="Y151" s="42"/>
      <c r="Z151" s="23"/>
    </row>
    <row r="152" spans="1:26" x14ac:dyDescent="0.25">
      <c r="A152" s="65"/>
      <c r="B152" s="66"/>
      <c r="C152" s="66"/>
      <c r="D152" s="27" t="str" cm="1">
        <f t="array" ref="D152">IF(I152="---","---",SumHH((I152,L152),(M152,P152)))</f>
        <v>---</v>
      </c>
      <c r="E152" s="23" t="str">
        <f t="shared" si="4"/>
        <v>---</v>
      </c>
      <c r="F152" s="25" t="str">
        <f>IF(G152="DD",('Item Usage'!$D$101+L152)-(P152+M152),"---")</f>
        <v>---</v>
      </c>
      <c r="G152" s="42"/>
      <c r="H152" s="42"/>
      <c r="I152" s="27" t="str">
        <f>_xlfn.XLOOKUP(G152,'Item Usage'!$B$59:$B$65,'Item Usage'!$D$59:$D$65,"---",0,1)</f>
        <v>---</v>
      </c>
      <c r="J152" s="23" t="str">
        <f>_xlfn.XLOOKUP(G152,'Item Usage'!$B$70:$B$100,'Item Usage'!$D$70:$D$100,"---",0,1)</f>
        <v>---</v>
      </c>
      <c r="K152" s="42"/>
      <c r="L152" s="23"/>
      <c r="M152" s="23"/>
      <c r="N152" s="4"/>
      <c r="O152" s="42"/>
      <c r="P152" s="23"/>
      <c r="Q152" s="63"/>
      <c r="R152" s="42"/>
      <c r="S152" s="63"/>
      <c r="T152" s="63"/>
      <c r="U152" s="42"/>
      <c r="V152" s="63"/>
      <c r="W152" s="58"/>
      <c r="X152" s="42"/>
      <c r="Y152" s="42"/>
      <c r="Z152" s="23"/>
    </row>
    <row r="153" spans="1:26" x14ac:dyDescent="0.25">
      <c r="A153" s="65"/>
      <c r="B153" s="66"/>
      <c r="C153" s="66"/>
      <c r="D153" s="27" t="str" cm="1">
        <f t="array" ref="D153">IF(I153="---","---",SumHH((I153,L153),(M153,P153)))</f>
        <v>---</v>
      </c>
      <c r="E153" s="23" t="str">
        <f t="shared" si="4"/>
        <v>---</v>
      </c>
      <c r="F153" s="25" t="str">
        <f>IF(G153="DD",('Item Usage'!$D$101+L153)-(P153+M153),"---")</f>
        <v>---</v>
      </c>
      <c r="G153" s="42"/>
      <c r="H153" s="42"/>
      <c r="I153" s="27" t="str">
        <f>_xlfn.XLOOKUP(G153,'Item Usage'!$B$59:$B$65,'Item Usage'!$D$59:$D$65,"---",0,1)</f>
        <v>---</v>
      </c>
      <c r="J153" s="23" t="str">
        <f>_xlfn.XLOOKUP(G153,'Item Usage'!$B$70:$B$100,'Item Usage'!$D$70:$D$100,"---",0,1)</f>
        <v>---</v>
      </c>
      <c r="K153" s="42"/>
      <c r="L153" s="23"/>
      <c r="M153" s="23"/>
      <c r="N153" s="4"/>
      <c r="O153" s="42"/>
      <c r="P153" s="23"/>
      <c r="Q153" s="63"/>
      <c r="R153" s="42"/>
      <c r="S153" s="63"/>
      <c r="T153" s="63"/>
      <c r="U153" s="42"/>
      <c r="V153" s="63"/>
      <c r="W153" s="58"/>
      <c r="X153" s="42"/>
      <c r="Y153" s="42"/>
      <c r="Z153" s="23"/>
    </row>
    <row r="154" spans="1:26" x14ac:dyDescent="0.25">
      <c r="A154" s="65"/>
      <c r="B154" s="66"/>
      <c r="C154" s="66"/>
      <c r="D154" s="27" t="str" cm="1">
        <f t="array" ref="D154">IF(I154="---","---",SumHH((I154,L154),(M154,P154)))</f>
        <v>---</v>
      </c>
      <c r="E154" s="23" t="str">
        <f t="shared" si="4"/>
        <v>---</v>
      </c>
      <c r="F154" s="25" t="str">
        <f>IF(G154="DD",('Item Usage'!$D$101+L154)-(P154+M154),"---")</f>
        <v>---</v>
      </c>
      <c r="G154" s="42"/>
      <c r="H154" s="42"/>
      <c r="I154" s="27" t="str">
        <f>_xlfn.XLOOKUP(G154,'Item Usage'!$B$59:$B$65,'Item Usage'!$D$59:$D$65,"---",0,1)</f>
        <v>---</v>
      </c>
      <c r="J154" s="23" t="str">
        <f>_xlfn.XLOOKUP(G154,'Item Usage'!$B$70:$B$100,'Item Usage'!$D$70:$D$100,"---",0,1)</f>
        <v>---</v>
      </c>
      <c r="K154" s="42"/>
      <c r="L154" s="23"/>
      <c r="M154" s="23"/>
      <c r="N154" s="4"/>
      <c r="O154" s="42"/>
      <c r="P154" s="23"/>
      <c r="Q154" s="63"/>
      <c r="R154" s="42"/>
      <c r="S154" s="63"/>
      <c r="T154" s="63"/>
      <c r="U154" s="42"/>
      <c r="V154" s="63"/>
      <c r="W154" s="58"/>
      <c r="X154" s="42"/>
      <c r="Y154" s="42"/>
      <c r="Z154" s="23"/>
    </row>
    <row r="155" spans="1:26" x14ac:dyDescent="0.25">
      <c r="A155" s="65"/>
      <c r="B155" s="66"/>
      <c r="C155" s="66"/>
      <c r="D155" s="27" t="str" cm="1">
        <f t="array" ref="D155">IF(I155="---","---",SumHH((I155,L155),(M155,P155)))</f>
        <v>---</v>
      </c>
      <c r="E155" s="23" t="str">
        <f t="shared" si="4"/>
        <v>---</v>
      </c>
      <c r="F155" s="25" t="str">
        <f>IF(G155="DD",('Item Usage'!$D$101+L155)-(P155+M155),"---")</f>
        <v>---</v>
      </c>
      <c r="G155" s="42"/>
      <c r="H155" s="42"/>
      <c r="I155" s="27" t="str">
        <f>_xlfn.XLOOKUP(G155,'Item Usage'!$B$59:$B$65,'Item Usage'!$D$59:$D$65,"---",0,1)</f>
        <v>---</v>
      </c>
      <c r="J155" s="23" t="str">
        <f>_xlfn.XLOOKUP(G155,'Item Usage'!$B$70:$B$100,'Item Usage'!$D$70:$D$100,"---",0,1)</f>
        <v>---</v>
      </c>
      <c r="K155" s="42"/>
      <c r="L155" s="23"/>
      <c r="M155" s="23"/>
      <c r="N155" s="4"/>
      <c r="O155" s="42"/>
      <c r="P155" s="23"/>
      <c r="Q155" s="63"/>
      <c r="R155" s="42"/>
      <c r="S155" s="63"/>
      <c r="T155" s="63"/>
      <c r="U155" s="42"/>
      <c r="V155" s="63"/>
      <c r="W155" s="58"/>
      <c r="X155" s="42"/>
      <c r="Y155" s="42"/>
      <c r="Z155" s="23"/>
    </row>
    <row r="156" spans="1:26" x14ac:dyDescent="0.25">
      <c r="A156" s="65"/>
      <c r="B156" s="66"/>
      <c r="C156" s="66"/>
      <c r="D156" s="27" t="str" cm="1">
        <f t="array" ref="D156">IF(I156="---","---",SumHH((I156,L156),(M156,P156)))</f>
        <v>---</v>
      </c>
      <c r="E156" s="23" t="str">
        <f t="shared" si="4"/>
        <v>---</v>
      </c>
      <c r="F156" s="25" t="str">
        <f>IF(G156="DD",('Item Usage'!$D$101+L156)-(P156+M156),"---")</f>
        <v>---</v>
      </c>
      <c r="G156" s="42"/>
      <c r="H156" s="42"/>
      <c r="I156" s="27" t="str">
        <f>_xlfn.XLOOKUP(G156,'Item Usage'!$B$59:$B$65,'Item Usage'!$D$59:$D$65,"---",0,1)</f>
        <v>---</v>
      </c>
      <c r="J156" s="23" t="str">
        <f>_xlfn.XLOOKUP(G156,'Item Usage'!$B$70:$B$100,'Item Usage'!$D$70:$D$100,"---",0,1)</f>
        <v>---</v>
      </c>
      <c r="K156" s="42"/>
      <c r="L156" s="23"/>
      <c r="M156" s="23"/>
      <c r="N156" s="4"/>
      <c r="O156" s="42"/>
      <c r="P156" s="23"/>
      <c r="Q156" s="63"/>
      <c r="R156" s="42"/>
      <c r="S156" s="63"/>
      <c r="T156" s="63"/>
      <c r="U156" s="42"/>
      <c r="V156" s="63"/>
      <c r="W156" s="58"/>
      <c r="X156" s="42"/>
      <c r="Y156" s="42"/>
      <c r="Z156" s="23"/>
    </row>
    <row r="157" spans="1:26" x14ac:dyDescent="0.25">
      <c r="A157" s="65"/>
      <c r="B157" s="66"/>
      <c r="C157" s="66"/>
      <c r="D157" s="27" t="str" cm="1">
        <f t="array" ref="D157">IF(I157="---","---",SumHH((I157,L157),(M157,P157)))</f>
        <v>---</v>
      </c>
      <c r="E157" s="23" t="str">
        <f t="shared" si="4"/>
        <v>---</v>
      </c>
      <c r="F157" s="25" t="str">
        <f>IF(G157="DD",('Item Usage'!$D$101+L157)-(P157+M157),"---")</f>
        <v>---</v>
      </c>
      <c r="G157" s="42"/>
      <c r="H157" s="42"/>
      <c r="I157" s="27" t="str">
        <f>_xlfn.XLOOKUP(G157,'Item Usage'!$B$59:$B$65,'Item Usage'!$D$59:$D$65,"---",0,1)</f>
        <v>---</v>
      </c>
      <c r="J157" s="23" t="str">
        <f>_xlfn.XLOOKUP(G157,'Item Usage'!$B$70:$B$100,'Item Usage'!$D$70:$D$100,"---",0,1)</f>
        <v>---</v>
      </c>
      <c r="K157" s="42"/>
      <c r="L157" s="23"/>
      <c r="M157" s="23"/>
      <c r="N157" s="4"/>
      <c r="O157" s="42"/>
      <c r="P157" s="23"/>
      <c r="Q157" s="63"/>
      <c r="R157" s="42"/>
      <c r="S157" s="63"/>
      <c r="T157" s="63"/>
      <c r="U157" s="42"/>
      <c r="V157" s="63"/>
      <c r="W157" s="58"/>
      <c r="X157" s="42"/>
      <c r="Y157" s="42"/>
      <c r="Z157" s="23"/>
    </row>
    <row r="158" spans="1:26" x14ac:dyDescent="0.25">
      <c r="A158" s="65"/>
      <c r="B158" s="66"/>
      <c r="C158" s="66"/>
      <c r="D158" s="27" t="str" cm="1">
        <f t="array" ref="D158">IF(I158="---","---",SumHH((I158,L158),(M158,P158)))</f>
        <v>---</v>
      </c>
      <c r="E158" s="23" t="str">
        <f t="shared" si="4"/>
        <v>---</v>
      </c>
      <c r="F158" s="25" t="str">
        <f>IF(G158="DD",('Item Usage'!$D$101+L158)-(P158+M158),"---")</f>
        <v>---</v>
      </c>
      <c r="G158" s="42"/>
      <c r="H158" s="42"/>
      <c r="I158" s="27" t="str">
        <f>_xlfn.XLOOKUP(G158,'Item Usage'!$B$59:$B$65,'Item Usage'!$D$59:$D$65,"---",0,1)</f>
        <v>---</v>
      </c>
      <c r="J158" s="23" t="str">
        <f>_xlfn.XLOOKUP(G158,'Item Usage'!$B$70:$B$100,'Item Usage'!$D$70:$D$100,"---",0,1)</f>
        <v>---</v>
      </c>
      <c r="K158" s="42"/>
      <c r="L158" s="23"/>
      <c r="M158" s="23"/>
      <c r="N158" s="4"/>
      <c r="O158" s="42"/>
      <c r="P158" s="23"/>
      <c r="Q158" s="63"/>
      <c r="R158" s="42"/>
      <c r="S158" s="63"/>
      <c r="T158" s="63"/>
      <c r="U158" s="42"/>
      <c r="V158" s="63"/>
      <c r="W158" s="58"/>
      <c r="X158" s="42"/>
      <c r="Y158" s="42"/>
      <c r="Z158" s="23"/>
    </row>
    <row r="159" spans="1:26" x14ac:dyDescent="0.25">
      <c r="A159" s="65"/>
      <c r="B159" s="66"/>
      <c r="C159" s="66"/>
      <c r="D159" s="27" t="str" cm="1">
        <f t="array" ref="D159">IF(I159="---","---",SumHH((I159,L159),(M159,P159)))</f>
        <v>---</v>
      </c>
      <c r="E159" s="23" t="str">
        <f t="shared" si="4"/>
        <v>---</v>
      </c>
      <c r="F159" s="25" t="str">
        <f>IF(G159="DD",('Item Usage'!$D$101+L159)-(P159+M159),"---")</f>
        <v>---</v>
      </c>
      <c r="G159" s="42"/>
      <c r="H159" s="42"/>
      <c r="I159" s="27" t="str">
        <f>_xlfn.XLOOKUP(G159,'Item Usage'!$B$59:$B$65,'Item Usage'!$D$59:$D$65,"---",0,1)</f>
        <v>---</v>
      </c>
      <c r="J159" s="23" t="str">
        <f>_xlfn.XLOOKUP(G159,'Item Usage'!$B$70:$B$100,'Item Usage'!$D$70:$D$100,"---",0,1)</f>
        <v>---</v>
      </c>
      <c r="K159" s="42"/>
      <c r="L159" s="23"/>
      <c r="M159" s="23"/>
      <c r="N159" s="4"/>
      <c r="O159" s="42"/>
      <c r="P159" s="23"/>
      <c r="Q159" s="63"/>
      <c r="R159" s="42"/>
      <c r="S159" s="63"/>
      <c r="T159" s="63"/>
      <c r="U159" s="42"/>
      <c r="V159" s="63"/>
      <c r="W159" s="58"/>
      <c r="X159" s="42"/>
      <c r="Y159" s="42"/>
      <c r="Z159" s="23"/>
    </row>
    <row r="160" spans="1:26" x14ac:dyDescent="0.25">
      <c r="A160" s="65"/>
      <c r="B160" s="66"/>
      <c r="C160" s="66"/>
      <c r="D160" s="27" t="str" cm="1">
        <f t="array" ref="D160">IF(I160="---","---",SumHH((I160,L160),(M160,P160)))</f>
        <v>---</v>
      </c>
      <c r="E160" s="23" t="str">
        <f t="shared" si="4"/>
        <v>---</v>
      </c>
      <c r="F160" s="25" t="str">
        <f>IF(G160="DD",('Item Usage'!$D$101+L160)-(P160+M160),"---")</f>
        <v>---</v>
      </c>
      <c r="G160" s="42"/>
      <c r="H160" s="42"/>
      <c r="I160" s="27" t="str">
        <f>_xlfn.XLOOKUP(G160,'Item Usage'!$B$59:$B$65,'Item Usage'!$D$59:$D$65,"---",0,1)</f>
        <v>---</v>
      </c>
      <c r="J160" s="23" t="str">
        <f>_xlfn.XLOOKUP(G160,'Item Usage'!$B$70:$B$100,'Item Usage'!$D$70:$D$100,"---",0,1)</f>
        <v>---</v>
      </c>
      <c r="K160" s="42"/>
      <c r="L160" s="23"/>
      <c r="M160" s="23"/>
      <c r="N160" s="4"/>
      <c r="O160" s="42"/>
      <c r="P160" s="23"/>
      <c r="Q160" s="63"/>
      <c r="R160" s="42"/>
      <c r="S160" s="63"/>
      <c r="T160" s="63"/>
      <c r="U160" s="42"/>
      <c r="V160" s="63"/>
      <c r="W160" s="58"/>
      <c r="X160" s="42"/>
      <c r="Y160" s="42"/>
      <c r="Z160" s="23"/>
    </row>
    <row r="161" spans="1:26" x14ac:dyDescent="0.25">
      <c r="A161" s="65"/>
      <c r="B161" s="66"/>
      <c r="C161" s="66"/>
      <c r="D161" s="27" t="str" cm="1">
        <f t="array" ref="D161">IF(I161="---","---",SumHH((I161,L161),(M161,P161)))</f>
        <v>---</v>
      </c>
      <c r="E161" s="23" t="str">
        <f t="shared" si="4"/>
        <v>---</v>
      </c>
      <c r="F161" s="25" t="str">
        <f>IF(G161="DD",('Item Usage'!$D$101+L161)-(P161+M161),"---")</f>
        <v>---</v>
      </c>
      <c r="G161" s="42"/>
      <c r="H161" s="42"/>
      <c r="I161" s="27" t="str">
        <f>_xlfn.XLOOKUP(G161,'Item Usage'!$B$59:$B$65,'Item Usage'!$D$59:$D$65,"---",0,1)</f>
        <v>---</v>
      </c>
      <c r="J161" s="23" t="str">
        <f>_xlfn.XLOOKUP(G161,'Item Usage'!$B$70:$B$100,'Item Usage'!$D$70:$D$100,"---",0,1)</f>
        <v>---</v>
      </c>
      <c r="K161" s="42"/>
      <c r="L161" s="23"/>
      <c r="M161" s="23"/>
      <c r="N161" s="4"/>
      <c r="O161" s="42"/>
      <c r="P161" s="23"/>
      <c r="Q161" s="63"/>
      <c r="R161" s="42"/>
      <c r="S161" s="63"/>
      <c r="T161" s="63"/>
      <c r="U161" s="42"/>
      <c r="V161" s="63"/>
      <c r="W161" s="58"/>
      <c r="X161" s="42"/>
      <c r="Y161" s="42"/>
      <c r="Z161" s="23"/>
    </row>
    <row r="162" spans="1:26" x14ac:dyDescent="0.25">
      <c r="A162" s="65"/>
      <c r="B162" s="66"/>
      <c r="C162" s="66"/>
      <c r="D162" s="27" t="str" cm="1">
        <f t="array" ref="D162">IF(I162="---","---",SumHH((I162,L162),(M162,P162)))</f>
        <v>---</v>
      </c>
      <c r="E162" s="23" t="str">
        <f t="shared" si="4"/>
        <v>---</v>
      </c>
      <c r="F162" s="25" t="str">
        <f>IF(G162="DD",('Item Usage'!$D$101+L162)-(P162+M162),"---")</f>
        <v>---</v>
      </c>
      <c r="G162" s="42"/>
      <c r="H162" s="42"/>
      <c r="I162" s="27" t="str">
        <f>_xlfn.XLOOKUP(G162,'Item Usage'!$B$59:$B$65,'Item Usage'!$D$59:$D$65,"---",0,1)</f>
        <v>---</v>
      </c>
      <c r="J162" s="23" t="str">
        <f>_xlfn.XLOOKUP(G162,'Item Usage'!$B$70:$B$100,'Item Usage'!$D$70:$D$100,"---",0,1)</f>
        <v>---</v>
      </c>
      <c r="K162" s="42"/>
      <c r="L162" s="23"/>
      <c r="M162" s="23"/>
      <c r="N162" s="4"/>
      <c r="O162" s="42"/>
      <c r="P162" s="23"/>
      <c r="Q162" s="63"/>
      <c r="R162" s="42"/>
      <c r="S162" s="63"/>
      <c r="T162" s="63"/>
      <c r="U162" s="42"/>
      <c r="V162" s="63"/>
      <c r="W162" s="58"/>
      <c r="X162" s="42"/>
      <c r="Y162" s="42"/>
      <c r="Z162" s="23"/>
    </row>
    <row r="163" spans="1:26" x14ac:dyDescent="0.25">
      <c r="A163" s="65"/>
      <c r="B163" s="66"/>
      <c r="C163" s="66"/>
      <c r="D163" s="27" t="str" cm="1">
        <f t="array" ref="D163">IF(I163="---","---",SumHH((I163,L163),(M163,P163)))</f>
        <v>---</v>
      </c>
      <c r="E163" s="23" t="str">
        <f t="shared" si="4"/>
        <v>---</v>
      </c>
      <c r="F163" s="25" t="str">
        <f>IF(G163="DD",('Item Usage'!$D$101+L163)-(P163+M163),"---")</f>
        <v>---</v>
      </c>
      <c r="G163" s="42"/>
      <c r="H163" s="42"/>
      <c r="I163" s="27" t="str">
        <f>_xlfn.XLOOKUP(G163,'Item Usage'!$B$59:$B$65,'Item Usage'!$D$59:$D$65,"---",0,1)</f>
        <v>---</v>
      </c>
      <c r="J163" s="23" t="str">
        <f>_xlfn.XLOOKUP(G163,'Item Usage'!$B$70:$B$100,'Item Usage'!$D$70:$D$100,"---",0,1)</f>
        <v>---</v>
      </c>
      <c r="K163" s="42"/>
      <c r="L163" s="23"/>
      <c r="M163" s="23"/>
      <c r="N163" s="4"/>
      <c r="O163" s="42"/>
      <c r="P163" s="23"/>
      <c r="Q163" s="63"/>
      <c r="R163" s="42"/>
      <c r="S163" s="63"/>
      <c r="T163" s="63"/>
      <c r="U163" s="42"/>
      <c r="V163" s="63"/>
      <c r="W163" s="58"/>
      <c r="X163" s="42"/>
      <c r="Y163" s="42"/>
      <c r="Z163" s="23"/>
    </row>
    <row r="164" spans="1:26" x14ac:dyDescent="0.25">
      <c r="A164" s="65"/>
      <c r="B164" s="66"/>
      <c r="C164" s="66"/>
      <c r="D164" s="27" t="str" cm="1">
        <f t="array" ref="D164">IF(I164="---","---",SumHH((I164,L164),(M164,P164)))</f>
        <v>---</v>
      </c>
      <c r="E164" s="23" t="str">
        <f t="shared" ref="E164:E183" si="5">IF(J164&lt;&gt;"---",($J164+$L164)-($P164+$M164),"---")</f>
        <v>---</v>
      </c>
      <c r="F164" s="25" t="str">
        <f>IF(G164="DD",('Item Usage'!$D$101+L164)-(P164+M164),"---")</f>
        <v>---</v>
      </c>
      <c r="G164" s="42"/>
      <c r="H164" s="42"/>
      <c r="I164" s="27" t="str">
        <f>_xlfn.XLOOKUP(G164,'Item Usage'!$B$59:$B$65,'Item Usage'!$D$59:$D$65,"---",0,1)</f>
        <v>---</v>
      </c>
      <c r="J164" s="23" t="str">
        <f>_xlfn.XLOOKUP(G164,'Item Usage'!$B$70:$B$100,'Item Usage'!$D$70:$D$100,"---",0,1)</f>
        <v>---</v>
      </c>
      <c r="K164" s="42"/>
      <c r="L164" s="23"/>
      <c r="M164" s="23"/>
      <c r="N164" s="4"/>
      <c r="O164" s="42"/>
      <c r="P164" s="23"/>
      <c r="Q164" s="63"/>
      <c r="R164" s="42"/>
      <c r="S164" s="63"/>
      <c r="T164" s="63"/>
      <c r="U164" s="42"/>
      <c r="V164" s="63"/>
      <c r="W164" s="58"/>
      <c r="X164" s="42"/>
      <c r="Y164" s="42"/>
      <c r="Z164" s="23"/>
    </row>
    <row r="165" spans="1:26" x14ac:dyDescent="0.25">
      <c r="A165" s="65"/>
      <c r="B165" s="66"/>
      <c r="C165" s="66"/>
      <c r="D165" s="27" t="str" cm="1">
        <f t="array" ref="D165">IF(I165="---","---",SumHH((I165,L165),(M165,P165)))</f>
        <v>---</v>
      </c>
      <c r="E165" s="23" t="str">
        <f t="shared" si="5"/>
        <v>---</v>
      </c>
      <c r="F165" s="25" t="str">
        <f>IF(G165="DD",('Item Usage'!$D$101+L165)-(P165+M165),"---")</f>
        <v>---</v>
      </c>
      <c r="G165" s="42"/>
      <c r="H165" s="42"/>
      <c r="I165" s="27" t="str">
        <f>_xlfn.XLOOKUP(G165,'Item Usage'!$B$59:$B$65,'Item Usage'!$D$59:$D$65,"---",0,1)</f>
        <v>---</v>
      </c>
      <c r="J165" s="23" t="str">
        <f>_xlfn.XLOOKUP(G165,'Item Usage'!$B$70:$B$100,'Item Usage'!$D$70:$D$100,"---",0,1)</f>
        <v>---</v>
      </c>
      <c r="K165" s="42"/>
      <c r="L165" s="23"/>
      <c r="M165" s="23"/>
      <c r="N165" s="4"/>
      <c r="O165" s="42"/>
      <c r="P165" s="23"/>
      <c r="Q165" s="63"/>
      <c r="R165" s="42"/>
      <c r="S165" s="63"/>
      <c r="T165" s="63"/>
      <c r="U165" s="42"/>
      <c r="V165" s="63"/>
      <c r="W165" s="58"/>
      <c r="X165" s="42"/>
      <c r="Y165" s="42"/>
      <c r="Z165" s="23"/>
    </row>
    <row r="166" spans="1:26" x14ac:dyDescent="0.25">
      <c r="A166" s="65"/>
      <c r="B166" s="66"/>
      <c r="C166" s="66"/>
      <c r="D166" s="27" t="str" cm="1">
        <f t="array" ref="D166">IF(I166="---","---",SumHH((I166,L166),(M166,P166)))</f>
        <v>---</v>
      </c>
      <c r="E166" s="23" t="str">
        <f t="shared" si="5"/>
        <v>---</v>
      </c>
      <c r="F166" s="25" t="str">
        <f>IF(G166="DD",('Item Usage'!$D$101+L166)-(P166+M166),"---")</f>
        <v>---</v>
      </c>
      <c r="G166" s="42"/>
      <c r="H166" s="42"/>
      <c r="I166" s="27" t="str">
        <f>_xlfn.XLOOKUP(G166,'Item Usage'!$B$59:$B$65,'Item Usage'!$D$59:$D$65,"---",0,1)</f>
        <v>---</v>
      </c>
      <c r="J166" s="23" t="str">
        <f>_xlfn.XLOOKUP(G166,'Item Usage'!$B$70:$B$100,'Item Usage'!$D$70:$D$100,"---",0,1)</f>
        <v>---</v>
      </c>
      <c r="K166" s="42"/>
      <c r="L166" s="23"/>
      <c r="M166" s="23"/>
      <c r="N166" s="4"/>
      <c r="O166" s="42"/>
      <c r="P166" s="23"/>
      <c r="Q166" s="63"/>
      <c r="R166" s="42"/>
      <c r="S166" s="63"/>
      <c r="T166" s="63"/>
      <c r="U166" s="42"/>
      <c r="V166" s="63"/>
      <c r="W166" s="58"/>
      <c r="X166" s="42"/>
      <c r="Y166" s="42"/>
      <c r="Z166" s="23"/>
    </row>
    <row r="167" spans="1:26" x14ac:dyDescent="0.25">
      <c r="A167" s="65"/>
      <c r="B167" s="66"/>
      <c r="C167" s="66"/>
      <c r="D167" s="27" t="str" cm="1">
        <f t="array" ref="D167">IF(I167="---","---",SumHH((I167,L167),(M167,P167)))</f>
        <v>---</v>
      </c>
      <c r="E167" s="23" t="str">
        <f t="shared" si="5"/>
        <v>---</v>
      </c>
      <c r="F167" s="25" t="str">
        <f>IF(G167="DD",('Item Usage'!$D$101+L167)-(P167+M167),"---")</f>
        <v>---</v>
      </c>
      <c r="G167" s="42"/>
      <c r="H167" s="42"/>
      <c r="I167" s="27" t="str">
        <f>_xlfn.XLOOKUP(G167,'Item Usage'!$B$59:$B$65,'Item Usage'!$D$59:$D$65,"---",0,1)</f>
        <v>---</v>
      </c>
      <c r="J167" s="23" t="str">
        <f>_xlfn.XLOOKUP(G167,'Item Usage'!$B$70:$B$100,'Item Usage'!$D$70:$D$100,"---",0,1)</f>
        <v>---</v>
      </c>
      <c r="K167" s="42"/>
      <c r="L167" s="23"/>
      <c r="M167" s="23"/>
      <c r="N167" s="4"/>
      <c r="O167" s="42"/>
      <c r="P167" s="23"/>
      <c r="Q167" s="63"/>
      <c r="R167" s="42"/>
      <c r="S167" s="63"/>
      <c r="T167" s="63"/>
      <c r="U167" s="42"/>
      <c r="V167" s="63"/>
      <c r="W167" s="58"/>
      <c r="X167" s="42"/>
      <c r="Y167" s="42"/>
      <c r="Z167" s="23"/>
    </row>
    <row r="168" spans="1:26" x14ac:dyDescent="0.25">
      <c r="A168" s="65"/>
      <c r="B168" s="66"/>
      <c r="C168" s="66"/>
      <c r="D168" s="27" t="str" cm="1">
        <f t="array" ref="D168">IF(I168="---","---",SumHH((I168,L168),(M168,P168)))</f>
        <v>---</v>
      </c>
      <c r="E168" s="23" t="str">
        <f t="shared" si="5"/>
        <v>---</v>
      </c>
      <c r="F168" s="25" t="str">
        <f>IF(G168="DD",('Item Usage'!$D$101+L168)-(P168+M168),"---")</f>
        <v>---</v>
      </c>
      <c r="G168" s="42"/>
      <c r="H168" s="42"/>
      <c r="I168" s="27" t="str">
        <f>_xlfn.XLOOKUP(G168,'Item Usage'!$B$59:$B$65,'Item Usage'!$D$59:$D$65,"---",0,1)</f>
        <v>---</v>
      </c>
      <c r="J168" s="23" t="str">
        <f>_xlfn.XLOOKUP(G168,'Item Usage'!$B$70:$B$100,'Item Usage'!$D$70:$D$100,"---",0,1)</f>
        <v>---</v>
      </c>
      <c r="K168" s="42"/>
      <c r="L168" s="23"/>
      <c r="M168" s="23"/>
      <c r="N168" s="4"/>
      <c r="O168" s="42"/>
      <c r="P168" s="23"/>
      <c r="Q168" s="63"/>
      <c r="R168" s="42"/>
      <c r="S168" s="63"/>
      <c r="T168" s="63"/>
      <c r="U168" s="42"/>
      <c r="V168" s="63"/>
      <c r="W168" s="58"/>
      <c r="X168" s="42"/>
      <c r="Y168" s="42"/>
      <c r="Z168" s="23"/>
    </row>
    <row r="169" spans="1:26" x14ac:dyDescent="0.25">
      <c r="A169" s="65"/>
      <c r="B169" s="66"/>
      <c r="C169" s="66"/>
      <c r="D169" s="27" t="str" cm="1">
        <f t="array" ref="D169">IF(I169="---","---",SumHH((I169,L169),(M169,P169)))</f>
        <v>---</v>
      </c>
      <c r="E169" s="23" t="str">
        <f t="shared" si="5"/>
        <v>---</v>
      </c>
      <c r="F169" s="25" t="str">
        <f>IF(G169="DD",('Item Usage'!$D$101+L169)-(P169+M169),"---")</f>
        <v>---</v>
      </c>
      <c r="G169" s="42"/>
      <c r="H169" s="42"/>
      <c r="I169" s="27" t="str">
        <f>_xlfn.XLOOKUP(G169,'Item Usage'!$B$59:$B$65,'Item Usage'!$D$59:$D$65,"---",0,1)</f>
        <v>---</v>
      </c>
      <c r="J169" s="23" t="str">
        <f>_xlfn.XLOOKUP(G169,'Item Usage'!$B$70:$B$100,'Item Usage'!$D$70:$D$100,"---",0,1)</f>
        <v>---</v>
      </c>
      <c r="K169" s="42"/>
      <c r="L169" s="23"/>
      <c r="M169" s="23"/>
      <c r="N169" s="4"/>
      <c r="O169" s="42"/>
      <c r="P169" s="23"/>
      <c r="Q169" s="63"/>
      <c r="R169" s="42"/>
      <c r="S169" s="63"/>
      <c r="T169" s="63"/>
      <c r="U169" s="42"/>
      <c r="V169" s="63"/>
      <c r="W169" s="58"/>
      <c r="X169" s="42"/>
      <c r="Y169" s="42"/>
      <c r="Z169" s="23"/>
    </row>
    <row r="170" spans="1:26" x14ac:dyDescent="0.25">
      <c r="A170" s="65"/>
      <c r="B170" s="66"/>
      <c r="C170" s="66"/>
      <c r="D170" s="27" t="str" cm="1">
        <f t="array" ref="D170">IF(I170="---","---",SumHH((I170,L170),(M170,P170)))</f>
        <v>---</v>
      </c>
      <c r="E170" s="23" t="str">
        <f t="shared" si="5"/>
        <v>---</v>
      </c>
      <c r="F170" s="25" t="str">
        <f>IF(G170="DD",('Item Usage'!$D$101+L170)-(P170+M170),"---")</f>
        <v>---</v>
      </c>
      <c r="G170" s="42"/>
      <c r="H170" s="42"/>
      <c r="I170" s="27" t="str">
        <f>_xlfn.XLOOKUP(G170,'Item Usage'!$B$59:$B$65,'Item Usage'!$D$59:$D$65,"---",0,1)</f>
        <v>---</v>
      </c>
      <c r="J170" s="23" t="str">
        <f>_xlfn.XLOOKUP(G170,'Item Usage'!$B$70:$B$100,'Item Usage'!$D$70:$D$100,"---",0,1)</f>
        <v>---</v>
      </c>
      <c r="K170" s="42"/>
      <c r="L170" s="23"/>
      <c r="M170" s="23"/>
      <c r="N170" s="4"/>
      <c r="O170" s="42"/>
      <c r="P170" s="23"/>
      <c r="Q170" s="63"/>
      <c r="R170" s="42"/>
      <c r="S170" s="63"/>
      <c r="T170" s="63"/>
      <c r="U170" s="42"/>
      <c r="V170" s="63"/>
      <c r="W170" s="58"/>
      <c r="X170" s="42"/>
      <c r="Y170" s="42"/>
      <c r="Z170" s="23"/>
    </row>
    <row r="171" spans="1:26" x14ac:dyDescent="0.25">
      <c r="A171" s="65"/>
      <c r="B171" s="66"/>
      <c r="C171" s="66"/>
      <c r="D171" s="27" t="str" cm="1">
        <f t="array" ref="D171">IF(I171="---","---",SumHH((I171,L171),(M171,P171)))</f>
        <v>---</v>
      </c>
      <c r="E171" s="23" t="str">
        <f t="shared" si="5"/>
        <v>---</v>
      </c>
      <c r="F171" s="25" t="str">
        <f>IF(G171="DD",('Item Usage'!$D$101+L171)-(P171+M171),"---")</f>
        <v>---</v>
      </c>
      <c r="G171" s="42"/>
      <c r="H171" s="42"/>
      <c r="I171" s="27" t="str">
        <f>_xlfn.XLOOKUP(G171,'Item Usage'!$B$59:$B$65,'Item Usage'!$D$59:$D$65,"---",0,1)</f>
        <v>---</v>
      </c>
      <c r="J171" s="23" t="str">
        <f>_xlfn.XLOOKUP(G171,'Item Usage'!$B$70:$B$100,'Item Usage'!$D$70:$D$100,"---",0,1)</f>
        <v>---</v>
      </c>
      <c r="K171" s="42"/>
      <c r="L171" s="23"/>
      <c r="M171" s="23"/>
      <c r="N171" s="4"/>
      <c r="O171" s="42"/>
      <c r="P171" s="23"/>
      <c r="Q171" s="63"/>
      <c r="R171" s="42"/>
      <c r="S171" s="63"/>
      <c r="T171" s="63"/>
      <c r="U171" s="42"/>
      <c r="V171" s="63"/>
      <c r="W171" s="58"/>
      <c r="X171" s="42"/>
      <c r="Y171" s="42"/>
      <c r="Z171" s="23"/>
    </row>
    <row r="172" spans="1:26" x14ac:dyDescent="0.25">
      <c r="A172" s="65"/>
      <c r="B172" s="66"/>
      <c r="C172" s="66"/>
      <c r="D172" s="27" t="str" cm="1">
        <f t="array" ref="D172">IF(I172="---","---",SumHH((I172,L172),(M172,P172)))</f>
        <v>---</v>
      </c>
      <c r="E172" s="23" t="str">
        <f t="shared" si="5"/>
        <v>---</v>
      </c>
      <c r="F172" s="25" t="str">
        <f>IF(G172="DD",('Item Usage'!$D$101+L172)-(P172+M172),"---")</f>
        <v>---</v>
      </c>
      <c r="G172" s="42"/>
      <c r="H172" s="42"/>
      <c r="I172" s="27" t="str">
        <f>_xlfn.XLOOKUP(G172,'Item Usage'!$B$59:$B$65,'Item Usage'!$D$59:$D$65,"---",0,1)</f>
        <v>---</v>
      </c>
      <c r="J172" s="23" t="str">
        <f>_xlfn.XLOOKUP(G172,'Item Usage'!$B$70:$B$100,'Item Usage'!$D$70:$D$100,"---",0,1)</f>
        <v>---</v>
      </c>
      <c r="K172" s="42"/>
      <c r="L172" s="23"/>
      <c r="M172" s="23"/>
      <c r="N172" s="4"/>
      <c r="O172" s="42"/>
      <c r="P172" s="23"/>
      <c r="Q172" s="63"/>
      <c r="R172" s="42"/>
      <c r="S172" s="63"/>
      <c r="T172" s="63"/>
      <c r="U172" s="42"/>
      <c r="V172" s="63"/>
      <c r="W172" s="58"/>
      <c r="X172" s="42"/>
      <c r="Y172" s="42"/>
      <c r="Z172" s="23"/>
    </row>
    <row r="173" spans="1:26" x14ac:dyDescent="0.25">
      <c r="A173" s="65"/>
      <c r="B173" s="66"/>
      <c r="C173" s="66"/>
      <c r="D173" s="27" t="str" cm="1">
        <f t="array" ref="D173">IF(I173="---","---",SumHH((I173,L173),(M173,P173)))</f>
        <v>---</v>
      </c>
      <c r="E173" s="23" t="str">
        <f t="shared" si="5"/>
        <v>---</v>
      </c>
      <c r="F173" s="25" t="str">
        <f>IF(G173="DD",('Item Usage'!$D$101+L173)-(P173+M173),"---")</f>
        <v>---</v>
      </c>
      <c r="G173" s="42"/>
      <c r="H173" s="42"/>
      <c r="I173" s="27" t="str">
        <f>_xlfn.XLOOKUP(G173,'Item Usage'!$B$59:$B$65,'Item Usage'!$D$59:$D$65,"---",0,1)</f>
        <v>---</v>
      </c>
      <c r="J173" s="23" t="str">
        <f>_xlfn.XLOOKUP(G173,'Item Usage'!$B$70:$B$100,'Item Usage'!$D$70:$D$100,"---",0,1)</f>
        <v>---</v>
      </c>
      <c r="K173" s="42"/>
      <c r="L173" s="23"/>
      <c r="M173" s="23"/>
      <c r="N173" s="4"/>
      <c r="O173" s="42"/>
      <c r="P173" s="23"/>
      <c r="Q173" s="63"/>
      <c r="R173" s="42"/>
      <c r="S173" s="63"/>
      <c r="T173" s="63"/>
      <c r="U173" s="42"/>
      <c r="V173" s="63"/>
      <c r="W173" s="58"/>
      <c r="X173" s="42"/>
      <c r="Y173" s="42"/>
      <c r="Z173" s="23"/>
    </row>
    <row r="174" spans="1:26" x14ac:dyDescent="0.25">
      <c r="A174" s="65"/>
      <c r="B174" s="66"/>
      <c r="C174" s="66"/>
      <c r="D174" s="27" t="str" cm="1">
        <f t="array" ref="D174">IF(I174="---","---",SumHH((I174,L174),(M174,P174)))</f>
        <v>---</v>
      </c>
      <c r="E174" s="23" t="str">
        <f t="shared" si="5"/>
        <v>---</v>
      </c>
      <c r="F174" s="25" t="str">
        <f>IF(G174="DD",('Item Usage'!$D$101+L174)-(P174+M174),"---")</f>
        <v>---</v>
      </c>
      <c r="G174" s="42"/>
      <c r="H174" s="42"/>
      <c r="I174" s="27" t="str">
        <f>_xlfn.XLOOKUP(G174,'Item Usage'!$B$59:$B$65,'Item Usage'!$D$59:$D$65,"---",0,1)</f>
        <v>---</v>
      </c>
      <c r="J174" s="23" t="str">
        <f>_xlfn.XLOOKUP(G174,'Item Usage'!$B$70:$B$100,'Item Usage'!$D$70:$D$100,"---",0,1)</f>
        <v>---</v>
      </c>
      <c r="K174" s="42"/>
      <c r="L174" s="23"/>
      <c r="M174" s="23"/>
      <c r="N174" s="4"/>
      <c r="O174" s="42"/>
      <c r="P174" s="23"/>
      <c r="Q174" s="63"/>
      <c r="R174" s="42"/>
      <c r="S174" s="63"/>
      <c r="T174" s="63"/>
      <c r="U174" s="42"/>
      <c r="V174" s="63"/>
      <c r="W174" s="58"/>
      <c r="X174" s="42"/>
      <c r="Y174" s="42"/>
      <c r="Z174" s="23"/>
    </row>
    <row r="175" spans="1:26" x14ac:dyDescent="0.25">
      <c r="A175" s="65"/>
      <c r="B175" s="66"/>
      <c r="C175" s="66"/>
      <c r="D175" s="27" t="str" cm="1">
        <f t="array" ref="D175">IF(I175="---","---",SumHH((I175,L175),(M175,P175)))</f>
        <v>---</v>
      </c>
      <c r="E175" s="23" t="str">
        <f t="shared" si="5"/>
        <v>---</v>
      </c>
      <c r="F175" s="25" t="str">
        <f>IF(G175="DD",('Item Usage'!$D$101+L175)-(P175+M175),"---")</f>
        <v>---</v>
      </c>
      <c r="G175" s="42"/>
      <c r="H175" s="42"/>
      <c r="I175" s="27" t="str">
        <f>_xlfn.XLOOKUP(G175,'Item Usage'!$B$59:$B$65,'Item Usage'!$D$59:$D$65,"---",0,1)</f>
        <v>---</v>
      </c>
      <c r="J175" s="23" t="str">
        <f>_xlfn.XLOOKUP(G175,'Item Usage'!$B$70:$B$100,'Item Usage'!$D$70:$D$100,"---",0,1)</f>
        <v>---</v>
      </c>
      <c r="K175" s="42"/>
      <c r="L175" s="23"/>
      <c r="M175" s="23"/>
      <c r="N175" s="4"/>
      <c r="O175" s="42"/>
      <c r="P175" s="23"/>
      <c r="Q175" s="63"/>
      <c r="R175" s="42"/>
      <c r="S175" s="63"/>
      <c r="T175" s="63"/>
      <c r="U175" s="42"/>
      <c r="V175" s="63"/>
      <c r="W175" s="58"/>
      <c r="X175" s="42"/>
      <c r="Y175" s="42"/>
      <c r="Z175" s="23"/>
    </row>
    <row r="176" spans="1:26" x14ac:dyDescent="0.25">
      <c r="A176" s="65"/>
      <c r="B176" s="66"/>
      <c r="C176" s="66"/>
      <c r="D176" s="27" t="str" cm="1">
        <f t="array" ref="D176">IF(I176="---","---",SumHH((I176,L176),(M176,P176)))</f>
        <v>---</v>
      </c>
      <c r="E176" s="23" t="str">
        <f t="shared" si="5"/>
        <v>---</v>
      </c>
      <c r="F176" s="25" t="str">
        <f>IF(G176="DD",('Item Usage'!$D$101+L176)-(P176+M176),"---")</f>
        <v>---</v>
      </c>
      <c r="G176" s="42"/>
      <c r="H176" s="42"/>
      <c r="I176" s="27" t="str">
        <f>_xlfn.XLOOKUP(G176,'Item Usage'!$B$59:$B$65,'Item Usage'!$D$59:$D$65,"---",0,1)</f>
        <v>---</v>
      </c>
      <c r="J176" s="23" t="str">
        <f>_xlfn.XLOOKUP(G176,'Item Usage'!$B$70:$B$100,'Item Usage'!$D$70:$D$100,"---",0,1)</f>
        <v>---</v>
      </c>
      <c r="K176" s="42"/>
      <c r="L176" s="23"/>
      <c r="M176" s="23"/>
      <c r="N176" s="4"/>
      <c r="O176" s="42"/>
      <c r="P176" s="23"/>
      <c r="Q176" s="63"/>
      <c r="R176" s="42"/>
      <c r="S176" s="63"/>
      <c r="T176" s="63"/>
      <c r="U176" s="42"/>
      <c r="V176" s="63"/>
      <c r="W176" s="58"/>
      <c r="X176" s="42"/>
      <c r="Y176" s="42"/>
      <c r="Z176" s="23"/>
    </row>
    <row r="177" spans="1:26" x14ac:dyDescent="0.25">
      <c r="A177" s="65"/>
      <c r="B177" s="66"/>
      <c r="C177" s="66"/>
      <c r="D177" s="27" t="str" cm="1">
        <f t="array" ref="D177">IF(I177="---","---",SumHH((I177,L177),(M177,P177)))</f>
        <v>---</v>
      </c>
      <c r="E177" s="23" t="str">
        <f t="shared" si="5"/>
        <v>---</v>
      </c>
      <c r="F177" s="25" t="str">
        <f>IF(G177="DD",('Item Usage'!$D$101+L177)-(P177+M177),"---")</f>
        <v>---</v>
      </c>
      <c r="G177" s="42"/>
      <c r="H177" s="42"/>
      <c r="I177" s="27" t="str">
        <f>_xlfn.XLOOKUP(G177,'Item Usage'!$B$59:$B$65,'Item Usage'!$D$59:$D$65,"---",0,1)</f>
        <v>---</v>
      </c>
      <c r="J177" s="23" t="str">
        <f>_xlfn.XLOOKUP(G177,'Item Usage'!$B$70:$B$100,'Item Usage'!$D$70:$D$100,"---",0,1)</f>
        <v>---</v>
      </c>
      <c r="K177" s="42"/>
      <c r="L177" s="23"/>
      <c r="M177" s="23"/>
      <c r="N177" s="4"/>
      <c r="O177" s="42"/>
      <c r="P177" s="23"/>
      <c r="Q177" s="63"/>
      <c r="R177" s="42"/>
      <c r="S177" s="63"/>
      <c r="T177" s="63"/>
      <c r="U177" s="42"/>
      <c r="V177" s="63"/>
      <c r="W177" s="58"/>
      <c r="X177" s="42"/>
      <c r="Y177" s="42"/>
      <c r="Z177" s="23"/>
    </row>
    <row r="178" spans="1:26" x14ac:dyDescent="0.25">
      <c r="A178" s="65"/>
      <c r="B178" s="66"/>
      <c r="C178" s="66"/>
      <c r="D178" s="27" t="str" cm="1">
        <f t="array" ref="D178">IF(I178="---","---",SumHH((I178,L178),(M178,P178)))</f>
        <v>---</v>
      </c>
      <c r="E178" s="23" t="str">
        <f t="shared" si="5"/>
        <v>---</v>
      </c>
      <c r="F178" s="25" t="str">
        <f>IF(G178="DD",('Item Usage'!$D$101+L178)-(P178+M178),"---")</f>
        <v>---</v>
      </c>
      <c r="G178" s="42"/>
      <c r="H178" s="42"/>
      <c r="I178" s="27" t="str">
        <f>_xlfn.XLOOKUP(G178,'Item Usage'!$B$59:$B$65,'Item Usage'!$D$59:$D$65,"---",0,1)</f>
        <v>---</v>
      </c>
      <c r="J178" s="23" t="str">
        <f>_xlfn.XLOOKUP(G178,'Item Usage'!$B$70:$B$100,'Item Usage'!$D$70:$D$100,"---",0,1)</f>
        <v>---</v>
      </c>
      <c r="K178" s="42"/>
      <c r="L178" s="23"/>
      <c r="M178" s="23"/>
      <c r="N178" s="4"/>
      <c r="O178" s="42"/>
      <c r="P178" s="23"/>
      <c r="Q178" s="63"/>
      <c r="R178" s="42"/>
      <c r="S178" s="63"/>
      <c r="T178" s="63"/>
      <c r="U178" s="42"/>
      <c r="V178" s="63"/>
      <c r="W178" s="58"/>
      <c r="X178" s="42"/>
      <c r="Y178" s="42"/>
      <c r="Z178" s="23"/>
    </row>
    <row r="179" spans="1:26" x14ac:dyDescent="0.25">
      <c r="A179" s="65"/>
      <c r="B179" s="66"/>
      <c r="C179" s="66"/>
      <c r="D179" s="27" t="str" cm="1">
        <f t="array" ref="D179">IF(I179="---","---",SumHH((I179,L179),(M179,P179)))</f>
        <v>---</v>
      </c>
      <c r="E179" s="23" t="str">
        <f t="shared" si="5"/>
        <v>---</v>
      </c>
      <c r="F179" s="25" t="str">
        <f>IF(G179="DD",('Item Usage'!$D$101+L179)-(P179+M179),"---")</f>
        <v>---</v>
      </c>
      <c r="G179" s="42"/>
      <c r="H179" s="42"/>
      <c r="I179" s="27" t="str">
        <f>_xlfn.XLOOKUP(G179,'Item Usage'!$B$59:$B$65,'Item Usage'!$D$59:$D$65,"---",0,1)</f>
        <v>---</v>
      </c>
      <c r="J179" s="23" t="str">
        <f>_xlfn.XLOOKUP(G179,'Item Usage'!$B$70:$B$100,'Item Usage'!$D$70:$D$100,"---",0,1)</f>
        <v>---</v>
      </c>
      <c r="K179" s="42"/>
      <c r="L179" s="23"/>
      <c r="M179" s="23"/>
      <c r="N179" s="4"/>
      <c r="O179" s="42"/>
      <c r="P179" s="23"/>
      <c r="Q179" s="63"/>
      <c r="R179" s="42"/>
      <c r="S179" s="63"/>
      <c r="T179" s="63"/>
      <c r="U179" s="42"/>
      <c r="V179" s="63"/>
      <c r="W179" s="58"/>
      <c r="X179" s="42"/>
      <c r="Y179" s="42"/>
      <c r="Z179" s="23"/>
    </row>
    <row r="180" spans="1:26" x14ac:dyDescent="0.25">
      <c r="A180" s="65"/>
      <c r="B180" s="66"/>
      <c r="C180" s="66"/>
      <c r="D180" s="27" t="str" cm="1">
        <f t="array" ref="D180">IF(I180="---","---",SumHH((I180,L180),(M180,P180)))</f>
        <v>---</v>
      </c>
      <c r="E180" s="23" t="str">
        <f t="shared" si="5"/>
        <v>---</v>
      </c>
      <c r="F180" s="25" t="str">
        <f>IF(G180="DD",('Item Usage'!$D$101+L180)-(P180+M180),"---")</f>
        <v>---</v>
      </c>
      <c r="G180" s="42"/>
      <c r="H180" s="42"/>
      <c r="I180" s="27" t="str">
        <f>_xlfn.XLOOKUP(G180,'Item Usage'!$B$59:$B$65,'Item Usage'!$D$59:$D$65,"---",0,1)</f>
        <v>---</v>
      </c>
      <c r="J180" s="23" t="str">
        <f>_xlfn.XLOOKUP(G180,'Item Usage'!$B$70:$B$100,'Item Usage'!$D$70:$D$100,"---",0,1)</f>
        <v>---</v>
      </c>
      <c r="K180" s="42"/>
      <c r="L180" s="23"/>
      <c r="M180" s="23"/>
      <c r="N180" s="4"/>
      <c r="O180" s="42"/>
      <c r="P180" s="23"/>
      <c r="Q180" s="63"/>
      <c r="R180" s="42"/>
      <c r="S180" s="63"/>
      <c r="T180" s="63"/>
      <c r="U180" s="42"/>
      <c r="V180" s="63"/>
      <c r="W180" s="58"/>
      <c r="X180" s="42"/>
      <c r="Y180" s="42"/>
      <c r="Z180" s="23"/>
    </row>
    <row r="181" spans="1:26" x14ac:dyDescent="0.25">
      <c r="A181" s="65"/>
      <c r="B181" s="66"/>
      <c r="C181" s="66"/>
      <c r="D181" s="27" t="str" cm="1">
        <f t="array" ref="D181">IF(I181="---","---",SumHH((I181,L181),(M181,P181)))</f>
        <v>---</v>
      </c>
      <c r="E181" s="23" t="str">
        <f t="shared" si="5"/>
        <v>---</v>
      </c>
      <c r="F181" s="25" t="str">
        <f>IF(G181="DD",('Item Usage'!$D$101+L181)-(P181+M181),"---")</f>
        <v>---</v>
      </c>
      <c r="G181" s="42"/>
      <c r="H181" s="42"/>
      <c r="I181" s="27" t="str">
        <f>_xlfn.XLOOKUP(G181,'Item Usage'!$B$59:$B$65,'Item Usage'!$D$59:$D$65,"---",0,1)</f>
        <v>---</v>
      </c>
      <c r="J181" s="23" t="str">
        <f>_xlfn.XLOOKUP(G181,'Item Usage'!$B$70:$B$100,'Item Usage'!$D$70:$D$100,"---",0,1)</f>
        <v>---</v>
      </c>
      <c r="K181" s="42"/>
      <c r="L181" s="23"/>
      <c r="M181" s="23"/>
      <c r="N181" s="4"/>
      <c r="O181" s="42"/>
      <c r="P181" s="23"/>
      <c r="Q181" s="63"/>
      <c r="R181" s="42"/>
      <c r="S181" s="63"/>
      <c r="T181" s="63"/>
      <c r="U181" s="42"/>
      <c r="V181" s="63"/>
      <c r="W181" s="58"/>
      <c r="X181" s="42"/>
      <c r="Y181" s="42"/>
      <c r="Z181" s="23"/>
    </row>
    <row r="182" spans="1:26" x14ac:dyDescent="0.25">
      <c r="A182" s="65"/>
      <c r="B182" s="66"/>
      <c r="C182" s="66"/>
      <c r="D182" s="27" t="str" cm="1">
        <f t="array" ref="D182">IF(I182="---","---",SumHH((I182,L182),(M182,P182)))</f>
        <v>---</v>
      </c>
      <c r="E182" s="23" t="str">
        <f t="shared" si="5"/>
        <v>---</v>
      </c>
      <c r="F182" s="25" t="str">
        <f>IF(G182="DD",('Item Usage'!$D$101+L182)-(P182+M182),"---")</f>
        <v>---</v>
      </c>
      <c r="G182" s="42"/>
      <c r="H182" s="42"/>
      <c r="I182" s="27" t="str">
        <f>_xlfn.XLOOKUP(G182,'Item Usage'!$B$59:$B$65,'Item Usage'!$D$59:$D$65,"---",0,1)</f>
        <v>---</v>
      </c>
      <c r="J182" s="23" t="str">
        <f>_xlfn.XLOOKUP(G182,'Item Usage'!$B$70:$B$100,'Item Usage'!$D$70:$D$100,"---",0,1)</f>
        <v>---</v>
      </c>
      <c r="K182" s="42"/>
      <c r="L182" s="23"/>
      <c r="M182" s="23"/>
      <c r="N182" s="4"/>
      <c r="O182" s="42"/>
      <c r="P182" s="23"/>
      <c r="Q182" s="63"/>
      <c r="R182" s="42"/>
      <c r="S182" s="63"/>
      <c r="T182" s="63"/>
      <c r="U182" s="42"/>
      <c r="V182" s="63"/>
      <c r="W182" s="58"/>
      <c r="X182" s="42"/>
      <c r="Y182" s="42"/>
      <c r="Z182" s="23"/>
    </row>
    <row r="183" spans="1:26" x14ac:dyDescent="0.25">
      <c r="A183" s="65"/>
      <c r="B183" s="66"/>
      <c r="C183" s="66"/>
      <c r="D183" s="27" t="str" cm="1">
        <f t="array" ref="D183">IF(I183="---","---",SumHH((I183,L183),(M183,P183)))</f>
        <v>---</v>
      </c>
      <c r="E183" s="23" t="str">
        <f t="shared" si="5"/>
        <v>---</v>
      </c>
      <c r="F183" s="25" t="str">
        <f>IF(G183="DD",('Item Usage'!$D$101+L183)-(P183+M183),"---")</f>
        <v>---</v>
      </c>
      <c r="G183" s="42"/>
      <c r="H183" s="42"/>
      <c r="I183" s="27" t="str">
        <f>_xlfn.XLOOKUP(G183,'Item Usage'!$B$59:$B$65,'Item Usage'!$D$59:$D$65,"---",0,1)</f>
        <v>---</v>
      </c>
      <c r="J183" s="23" t="str">
        <f>_xlfn.XLOOKUP(G183,'Item Usage'!$B$70:$B$100,'Item Usage'!$D$70:$D$100,"---",0,1)</f>
        <v>---</v>
      </c>
      <c r="K183" s="42"/>
      <c r="L183" s="23"/>
      <c r="M183" s="23"/>
      <c r="N183" s="4"/>
      <c r="O183" s="42"/>
      <c r="P183" s="23"/>
      <c r="Q183" s="63"/>
      <c r="R183" s="42"/>
      <c r="S183" s="63"/>
      <c r="T183" s="63"/>
      <c r="U183" s="42"/>
      <c r="V183" s="63"/>
      <c r="W183" s="58"/>
      <c r="X183" s="42"/>
      <c r="Y183" s="42"/>
      <c r="Z183" s="23"/>
    </row>
  </sheetData>
  <mergeCells count="1">
    <mergeCell ref="A1:G1"/>
  </mergeCells>
  <conditionalFormatting sqref="O4:O1048576">
    <cfRule type="containsText" dxfId="13" priority="1" operator="containsText" text="PT">
      <formula>NOT(ISERROR(SEARCH("PT",O4)))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E1002-AFF9-48E0-A63E-43244595B6F7}">
  <sheetPr codeName="Sheet7">
    <tabColor rgb="FF92D050"/>
  </sheetPr>
  <dimension ref="A1:AB182"/>
  <sheetViews>
    <sheetView tabSelected="1" zoomScale="75" zoomScaleNormal="75" workbookViewId="0">
      <pane ySplit="3" topLeftCell="A4" activePane="bottomLeft" state="frozen"/>
      <selection activeCell="B28" sqref="B28"/>
      <selection pane="bottomLeft" activeCell="F17" sqref="F17"/>
    </sheetView>
  </sheetViews>
  <sheetFormatPr defaultRowHeight="15" x14ac:dyDescent="0.25"/>
  <cols>
    <col min="1" max="1" width="24" customWidth="1"/>
    <col min="2" max="3" width="19.5703125" style="4" customWidth="1"/>
    <col min="4" max="4" width="14" style="16" customWidth="1"/>
    <col min="5" max="5" width="14" style="3" customWidth="1"/>
    <col min="6" max="6" width="14" style="25" customWidth="1"/>
    <col min="7" max="7" width="9.5703125" customWidth="1"/>
    <col min="8" max="8" width="13" style="4" bestFit="1" customWidth="1"/>
    <col min="9" max="10" width="10.5703125" style="4" bestFit="1" customWidth="1"/>
    <col min="11" max="11" width="8.42578125" customWidth="1"/>
    <col min="12" max="12" width="12.5703125" style="16" customWidth="1"/>
    <col min="13" max="13" width="12.5703125" style="3" customWidth="1"/>
    <col min="14" max="14" width="12.5703125" style="59" customWidth="1"/>
    <col min="15" max="15" width="12.5703125" customWidth="1"/>
    <col min="16" max="16" width="10.140625" customWidth="1"/>
    <col min="17" max="17" width="9.5703125" bestFit="1" customWidth="1"/>
    <col min="18" max="18" width="11.140625" bestFit="1" customWidth="1"/>
    <col min="19" max="19" width="23.42578125" customWidth="1"/>
    <col min="20" max="20" width="13.7109375" style="4" customWidth="1"/>
    <col min="21" max="21" width="30.28515625" customWidth="1"/>
    <col min="22" max="22" width="73.5703125" customWidth="1"/>
    <col min="23" max="23" width="16.85546875" style="4" bestFit="1" customWidth="1"/>
    <col min="24" max="24" width="22.42578125" bestFit="1" customWidth="1"/>
    <col min="25" max="25" width="25.28515625" style="68" bestFit="1" customWidth="1"/>
    <col min="26" max="26" width="7.85546875" style="4" bestFit="1" customWidth="1"/>
    <col min="27" max="27" width="13" style="4" customWidth="1"/>
    <col min="28" max="28" width="10.7109375" style="4" customWidth="1"/>
  </cols>
  <sheetData>
    <row r="1" spans="1:28" ht="39.75" customHeight="1" x14ac:dyDescent="0.25">
      <c r="A1" s="67" t="str">
        <f>'Item Usage'!B1</f>
        <v>ZZ383</v>
      </c>
      <c r="C1"/>
      <c r="F1" s="42"/>
      <c r="H1"/>
      <c r="I1"/>
      <c r="J1"/>
      <c r="L1"/>
      <c r="M1"/>
      <c r="N1"/>
      <c r="O1" s="38"/>
      <c r="T1"/>
      <c r="W1"/>
      <c r="Y1"/>
      <c r="Z1"/>
      <c r="AA1"/>
      <c r="AB1"/>
    </row>
    <row r="2" spans="1:28" x14ac:dyDescent="0.25">
      <c r="B2"/>
      <c r="C2"/>
      <c r="D2" s="24"/>
      <c r="F2" s="4"/>
      <c r="I2" s="26"/>
      <c r="J2" s="23"/>
      <c r="L2" s="24"/>
      <c r="M2" s="24"/>
      <c r="N2" s="24"/>
      <c r="O2" s="24"/>
      <c r="P2" s="24"/>
      <c r="R2" s="24"/>
      <c r="T2"/>
      <c r="W2"/>
      <c r="Y2"/>
      <c r="Z2"/>
      <c r="AA2"/>
      <c r="AB2" s="24"/>
    </row>
    <row r="3" spans="1:28" s="38" customFormat="1" ht="78.75" customHeight="1" x14ac:dyDescent="0.25">
      <c r="A3" s="89" t="s">
        <v>83</v>
      </c>
      <c r="B3" s="89" t="s">
        <v>305</v>
      </c>
      <c r="C3" s="89" t="s">
        <v>306</v>
      </c>
      <c r="D3" s="89" t="s">
        <v>359</v>
      </c>
      <c r="E3" s="89" t="s">
        <v>360</v>
      </c>
      <c r="F3" s="89" t="s">
        <v>348</v>
      </c>
      <c r="G3" s="90" t="s">
        <v>84</v>
      </c>
      <c r="H3" s="91" t="s">
        <v>85</v>
      </c>
      <c r="I3" s="92" t="s">
        <v>349</v>
      </c>
      <c r="J3" s="92" t="s">
        <v>350</v>
      </c>
      <c r="K3" s="93" t="s">
        <v>86</v>
      </c>
      <c r="L3" s="93" t="s">
        <v>352</v>
      </c>
      <c r="M3" s="93" t="s">
        <v>353</v>
      </c>
      <c r="N3" s="93" t="s">
        <v>304</v>
      </c>
      <c r="O3" s="93" t="s">
        <v>88</v>
      </c>
      <c r="P3" s="93" t="s">
        <v>351</v>
      </c>
      <c r="Q3" s="93" t="s">
        <v>89</v>
      </c>
      <c r="R3" s="93" t="s">
        <v>90</v>
      </c>
      <c r="S3" s="93" t="s">
        <v>91</v>
      </c>
      <c r="T3" s="93" t="s">
        <v>92</v>
      </c>
      <c r="U3" s="93" t="s">
        <v>93</v>
      </c>
      <c r="V3" s="93" t="s">
        <v>94</v>
      </c>
      <c r="W3" s="93" t="s">
        <v>95</v>
      </c>
      <c r="X3" s="93" t="s">
        <v>96</v>
      </c>
      <c r="Y3" s="93" t="s">
        <v>97</v>
      </c>
      <c r="Z3" s="93" t="s">
        <v>98</v>
      </c>
      <c r="AA3" s="93" t="s">
        <v>325</v>
      </c>
      <c r="AB3" s="93" t="s">
        <v>99</v>
      </c>
    </row>
    <row r="4" spans="1:28" x14ac:dyDescent="0.25">
      <c r="A4" s="64" t="b">
        <v>0</v>
      </c>
      <c r="B4" s="42"/>
      <c r="C4" s="42"/>
      <c r="D4" s="27">
        <v>100.49444444444444</v>
      </c>
      <c r="E4" s="28" t="s">
        <v>297</v>
      </c>
      <c r="F4" s="29" t="s">
        <v>297</v>
      </c>
      <c r="G4" s="42" t="s">
        <v>43</v>
      </c>
      <c r="H4" s="42" t="s">
        <v>44</v>
      </c>
      <c r="I4" s="27">
        <f>_xlfn.XLOOKUP(G4,'Item Usage'!$B$59:$B$65,'Item Usage'!$D$59:$D$65,"---",0,1)</f>
        <v>97.156249999999986</v>
      </c>
      <c r="J4" s="28" t="str">
        <f>_xlfn.XLOOKUP(G4,'Item Usage'!$B$70:$B$100,'Item Usage'!$D$70:$D$100,"---",0,1)</f>
        <v>---</v>
      </c>
      <c r="K4" s="42" t="s">
        <v>492</v>
      </c>
      <c r="L4" s="27" cm="1">
        <f t="array" ref="L4">IF(D4="---","---", SumHH((D4,O4,R4), I4))</f>
        <v>11.671527777777799</v>
      </c>
      <c r="M4" s="23" t="str">
        <f>IF($E4="---","---",($E4+$O4+$R4)-$J4)</f>
        <v>---</v>
      </c>
      <c r="N4" s="30" t="str">
        <f>IF($F4="---","---",($F4+$O4+$R4))</f>
        <v>---</v>
      </c>
      <c r="O4" s="27">
        <v>0</v>
      </c>
      <c r="P4" s="42"/>
      <c r="Q4" s="42" t="s">
        <v>101</v>
      </c>
      <c r="R4" s="27">
        <v>8.3333333333333339</v>
      </c>
      <c r="S4" s="63" t="s">
        <v>493</v>
      </c>
      <c r="T4" s="42">
        <v>0</v>
      </c>
      <c r="U4" s="63"/>
      <c r="V4" s="63" t="s">
        <v>494</v>
      </c>
      <c r="W4" s="42" t="s">
        <v>495</v>
      </c>
      <c r="X4" s="63" t="s">
        <v>105</v>
      </c>
      <c r="Y4" s="58">
        <v>7200010</v>
      </c>
      <c r="Z4" s="42">
        <v>64643</v>
      </c>
      <c r="AA4" s="42" t="s">
        <v>326</v>
      </c>
      <c r="AB4" s="27">
        <v>7.5</v>
      </c>
    </row>
    <row r="5" spans="1:28" x14ac:dyDescent="0.25">
      <c r="A5" s="64" t="b">
        <v>0</v>
      </c>
      <c r="B5" s="42"/>
      <c r="C5" s="42"/>
      <c r="D5" s="26">
        <v>94.964583333333337</v>
      </c>
      <c r="E5" s="28" t="s">
        <v>297</v>
      </c>
      <c r="F5" s="25" t="s">
        <v>297</v>
      </c>
      <c r="G5" s="42" t="s">
        <v>43</v>
      </c>
      <c r="H5" s="42" t="s">
        <v>44</v>
      </c>
      <c r="I5" s="26">
        <f>_xlfn.XLOOKUP(G5,'Item Usage'!$B$59:$B$65,'Item Usage'!$D$59:$D$65,"---",0,1)</f>
        <v>97.156249999999986</v>
      </c>
      <c r="J5" s="28" t="str">
        <f>_xlfn.XLOOKUP(G5,'Item Usage'!$B$70:$B$100,'Item Usage'!$D$70:$D$100,"---",0,1)</f>
        <v>---</v>
      </c>
      <c r="K5" s="42" t="s">
        <v>492</v>
      </c>
      <c r="L5" s="27" cm="1">
        <f t="array" ref="L5">IF(D5="---","---", SumHH((D5,O5,R5), I5))</f>
        <v>14.475000000000021</v>
      </c>
      <c r="M5" s="23" t="str">
        <f>IF($E5="---","---",($E5+$O5+$R5)-$J5)</f>
        <v>---</v>
      </c>
      <c r="N5" s="69" t="str">
        <f>IF($F5="---","---",($F5+$O5+$R5))</f>
        <v>---</v>
      </c>
      <c r="O5" s="27">
        <v>0</v>
      </c>
      <c r="P5" s="42"/>
      <c r="Q5" s="42" t="s">
        <v>101</v>
      </c>
      <c r="R5" s="27">
        <v>16.666666666666668</v>
      </c>
      <c r="S5" s="63" t="s">
        <v>498</v>
      </c>
      <c r="T5" s="42">
        <v>0</v>
      </c>
      <c r="U5" s="63"/>
      <c r="V5" s="63" t="s">
        <v>499</v>
      </c>
      <c r="W5" s="42" t="s">
        <v>495</v>
      </c>
      <c r="X5" s="63" t="s">
        <v>105</v>
      </c>
      <c r="Y5" s="58">
        <v>7200005</v>
      </c>
      <c r="Z5" s="42">
        <v>64643</v>
      </c>
      <c r="AA5" s="42" t="s">
        <v>326</v>
      </c>
      <c r="AB5" s="27">
        <v>15.416666666666666</v>
      </c>
    </row>
    <row r="6" spans="1:28" x14ac:dyDescent="0.25">
      <c r="A6" s="64" t="b">
        <v>0</v>
      </c>
      <c r="B6" s="42"/>
      <c r="C6" s="42"/>
      <c r="D6" s="26">
        <v>94.964583333333337</v>
      </c>
      <c r="E6" s="23" t="s">
        <v>297</v>
      </c>
      <c r="F6" s="29" t="s">
        <v>297</v>
      </c>
      <c r="G6" s="42" t="s">
        <v>43</v>
      </c>
      <c r="H6" s="42" t="s">
        <v>44</v>
      </c>
      <c r="I6" s="26">
        <f>_xlfn.XLOOKUP(G6,'Item Usage'!$B$59:$B$65,'Item Usage'!$D$59:$D$65,"---",0,1)</f>
        <v>97.156249999999986</v>
      </c>
      <c r="J6" s="23" t="str">
        <f>_xlfn.XLOOKUP(G6,'Item Usage'!$B$70:$B$100,'Item Usage'!$D$70:$D$100,"---",0,1)</f>
        <v>---</v>
      </c>
      <c r="K6" s="42" t="s">
        <v>492</v>
      </c>
      <c r="L6" s="27" cm="1">
        <f t="array" ref="L6">IF(D6="---","---", SumHH((D6,O6,R6), I6))</f>
        <v>14.475000000000021</v>
      </c>
      <c r="M6" s="23" t="str">
        <f>IF($E6="---","---",($E6+$O6+$R6)-$J6)</f>
        <v>---</v>
      </c>
      <c r="N6" s="69" t="str">
        <f>IF($F6="---","---",($F6+$O6+$R6))</f>
        <v>---</v>
      </c>
      <c r="O6" s="27">
        <v>0</v>
      </c>
      <c r="P6" s="42"/>
      <c r="Q6" s="42" t="s">
        <v>101</v>
      </c>
      <c r="R6" s="27">
        <v>16.666666666666668</v>
      </c>
      <c r="S6" s="63" t="s">
        <v>502</v>
      </c>
      <c r="T6" s="42">
        <v>0</v>
      </c>
      <c r="U6" s="63"/>
      <c r="V6" s="63" t="s">
        <v>503</v>
      </c>
      <c r="W6" s="42" t="s">
        <v>495</v>
      </c>
      <c r="X6" s="63" t="s">
        <v>105</v>
      </c>
      <c r="Y6" s="58">
        <v>7200008</v>
      </c>
      <c r="Z6" s="42">
        <v>64643</v>
      </c>
      <c r="AA6" s="42" t="s">
        <v>326</v>
      </c>
      <c r="AB6" s="27">
        <v>15.416666666666666</v>
      </c>
    </row>
    <row r="7" spans="1:28" x14ac:dyDescent="0.25">
      <c r="A7" s="64" t="b">
        <v>0</v>
      </c>
      <c r="B7" s="42"/>
      <c r="C7" s="42"/>
      <c r="D7" s="26">
        <v>98.87222222222222</v>
      </c>
      <c r="E7" s="23" t="s">
        <v>297</v>
      </c>
      <c r="F7" s="29" t="s">
        <v>297</v>
      </c>
      <c r="G7" s="42" t="s">
        <v>56</v>
      </c>
      <c r="H7" s="42" t="s">
        <v>44</v>
      </c>
      <c r="I7" s="26">
        <f>_xlfn.XLOOKUP(G7,'Item Usage'!$B$59:$B$65,'Item Usage'!$D$59:$D$65,"---",0,1)</f>
        <v>98.35208333333334</v>
      </c>
      <c r="J7" s="23" t="str">
        <f>_xlfn.XLOOKUP(G7,'Item Usage'!$B$70:$B$100,'Item Usage'!$D$70:$D$100,"---",0,1)</f>
        <v>---</v>
      </c>
      <c r="K7" s="42" t="s">
        <v>492</v>
      </c>
      <c r="L7" s="27" cm="1">
        <f t="array" ref="L7">IF(D7="---","---", SumHH((D7,O7,R7), I7))</f>
        <v>8.8534722222222229</v>
      </c>
      <c r="M7" s="23" t="str">
        <f>IF($E7="---","---",($E7+$O7+$R7)-$J7)</f>
        <v>---</v>
      </c>
      <c r="N7" s="69" t="str">
        <f>IF($F7="---","---",($F7+$O7+$R7))</f>
        <v>---</v>
      </c>
      <c r="O7" s="27">
        <v>0</v>
      </c>
      <c r="P7" s="42"/>
      <c r="Q7" s="42" t="s">
        <v>101</v>
      </c>
      <c r="R7" s="27">
        <v>8.3333333333333339</v>
      </c>
      <c r="S7" s="63" t="s">
        <v>493</v>
      </c>
      <c r="T7" s="42">
        <v>0</v>
      </c>
      <c r="U7" s="63"/>
      <c r="V7" s="63" t="s">
        <v>494</v>
      </c>
      <c r="W7" s="42" t="s">
        <v>505</v>
      </c>
      <c r="X7" s="63" t="s">
        <v>105</v>
      </c>
      <c r="Y7" s="58">
        <v>7200010</v>
      </c>
      <c r="Z7" s="42">
        <v>64643</v>
      </c>
      <c r="AA7" s="42" t="s">
        <v>326</v>
      </c>
      <c r="AB7" s="27">
        <v>7.5</v>
      </c>
    </row>
    <row r="8" spans="1:28" x14ac:dyDescent="0.25">
      <c r="A8" s="64" t="b">
        <v>0</v>
      </c>
      <c r="B8" s="42"/>
      <c r="C8" s="42"/>
      <c r="D8" s="26">
        <v>67.567361111111111</v>
      </c>
      <c r="E8" s="23" t="s">
        <v>297</v>
      </c>
      <c r="F8" s="29" t="s">
        <v>297</v>
      </c>
      <c r="G8" s="42" t="s">
        <v>56</v>
      </c>
      <c r="H8" s="42" t="s">
        <v>44</v>
      </c>
      <c r="I8" s="26">
        <f>_xlfn.XLOOKUP(G8,'Item Usage'!$B$59:$B$65,'Item Usage'!$D$59:$D$65,"---",0,1)</f>
        <v>98.35208333333334</v>
      </c>
      <c r="J8" s="23" t="str">
        <f>_xlfn.XLOOKUP(G8,'Item Usage'!$B$70:$B$100,'Item Usage'!$D$70:$D$100,"---",0,1)</f>
        <v>---</v>
      </c>
      <c r="K8" s="42" t="s">
        <v>492</v>
      </c>
      <c r="L8" s="27" cm="1">
        <f t="array" ref="L8">IF(D8="---","---", SumHH((D8,O8,R8), I8))</f>
        <v>10.881944444444445</v>
      </c>
      <c r="M8" s="23" t="str">
        <f>IF($E8="---","---",($E8+$O8+$R8)-$J8)</f>
        <v>---</v>
      </c>
      <c r="N8" s="69" t="str">
        <f>IF($F8="---","---",($F8+$O8+$R8))</f>
        <v>---</v>
      </c>
      <c r="O8" s="27">
        <v>0</v>
      </c>
      <c r="P8" s="42"/>
      <c r="Q8" s="42" t="s">
        <v>101</v>
      </c>
      <c r="R8" s="27">
        <v>41.666666666666664</v>
      </c>
      <c r="S8" s="63" t="s">
        <v>507</v>
      </c>
      <c r="T8" s="42">
        <v>0</v>
      </c>
      <c r="U8" s="63"/>
      <c r="V8" s="63" t="s">
        <v>508</v>
      </c>
      <c r="W8" s="42" t="s">
        <v>509</v>
      </c>
      <c r="X8" s="63" t="s">
        <v>511</v>
      </c>
      <c r="Y8" s="58">
        <v>7200013</v>
      </c>
      <c r="Z8" s="42">
        <v>64643</v>
      </c>
      <c r="AA8" s="42" t="s">
        <v>328</v>
      </c>
      <c r="AB8" s="27">
        <v>40.416666666666664</v>
      </c>
    </row>
    <row r="9" spans="1:28" x14ac:dyDescent="0.25">
      <c r="A9" s="64" t="b">
        <v>0</v>
      </c>
      <c r="B9" s="42"/>
      <c r="C9" s="42"/>
      <c r="D9" s="26">
        <v>98.817361111111111</v>
      </c>
      <c r="E9" s="23" t="s">
        <v>297</v>
      </c>
      <c r="F9" s="29" t="s">
        <v>297</v>
      </c>
      <c r="G9" s="42" t="s">
        <v>56</v>
      </c>
      <c r="H9" s="42" t="s">
        <v>44</v>
      </c>
      <c r="I9" s="26">
        <f>_xlfn.XLOOKUP(G9,'Item Usage'!$B$59:$B$65,'Item Usage'!$D$59:$D$65,"---",0,1)</f>
        <v>98.35208333333334</v>
      </c>
      <c r="J9" s="23" t="str">
        <f>_xlfn.XLOOKUP(G9,'Item Usage'!$B$70:$B$100,'Item Usage'!$D$70:$D$100,"---",0,1)</f>
        <v>---</v>
      </c>
      <c r="K9" s="42" t="s">
        <v>492</v>
      </c>
      <c r="L9" s="27" cm="1">
        <f t="array" ref="L9">IF(D9="---","---", SumHH((D9,O9,R9), I9))</f>
        <v>10.881944444444445</v>
      </c>
      <c r="M9" s="23" t="str">
        <f>IF($E9="---","---",($E9+$O9+$R9)-$J9)</f>
        <v>---</v>
      </c>
      <c r="N9" s="69" t="str">
        <f>IF($F9="---","---",($F9+$O9+$R9))</f>
        <v>---</v>
      </c>
      <c r="O9" s="27">
        <v>0</v>
      </c>
      <c r="P9" s="42"/>
      <c r="Q9" s="42" t="s">
        <v>101</v>
      </c>
      <c r="R9" s="27">
        <v>10.416666666666666</v>
      </c>
      <c r="S9" s="63" t="s">
        <v>515</v>
      </c>
      <c r="T9" s="42">
        <v>0</v>
      </c>
      <c r="U9" s="63"/>
      <c r="V9" s="63" t="s">
        <v>516</v>
      </c>
      <c r="W9" s="42" t="s">
        <v>509</v>
      </c>
      <c r="X9" s="63" t="s">
        <v>511</v>
      </c>
      <c r="Y9" s="58" t="s">
        <v>517</v>
      </c>
      <c r="Z9" s="42">
        <v>64643</v>
      </c>
      <c r="AA9" s="42" t="s">
        <v>328</v>
      </c>
      <c r="AB9" s="27">
        <v>9.375</v>
      </c>
    </row>
    <row r="10" spans="1:28" x14ac:dyDescent="0.25">
      <c r="A10" s="64"/>
      <c r="B10" s="42"/>
      <c r="C10" s="42"/>
      <c r="D10" s="26">
        <v>84.034722222222214</v>
      </c>
      <c r="E10" s="23" t="s">
        <v>297</v>
      </c>
      <c r="F10" s="29" t="s">
        <v>297</v>
      </c>
      <c r="G10" s="42" t="s">
        <v>28</v>
      </c>
      <c r="H10" s="42" t="s">
        <v>29</v>
      </c>
      <c r="I10" s="26">
        <f>_xlfn.XLOOKUP(G10,'Item Usage'!$B$59:$B$65,'Item Usage'!$D$59:$D$65,"---",0,1)</f>
        <v>83.773611111111123</v>
      </c>
      <c r="J10" s="23" t="str">
        <f>_xlfn.XLOOKUP(G10,'Item Usage'!$B$70:$B$100,'Item Usage'!$D$70:$D$100,"---",0,1)</f>
        <v>---</v>
      </c>
      <c r="K10" s="42" t="s">
        <v>492</v>
      </c>
      <c r="L10" s="27" cm="1">
        <f t="array" ref="L10">IF(D10="---","---", SumHH((D10,O10,R10), I10))</f>
        <v>0.26111111111109092</v>
      </c>
      <c r="M10" s="23" t="str">
        <f>IF($E10="---","---",($E10+$O10+$R10)-$J10)</f>
        <v>---</v>
      </c>
      <c r="N10" s="69" t="str">
        <f>IF($F10="---","---",($F10+$O10+$R10))</f>
        <v>---</v>
      </c>
      <c r="O10" s="27">
        <v>0</v>
      </c>
      <c r="P10" s="42"/>
      <c r="Q10" s="42" t="s">
        <v>529</v>
      </c>
      <c r="R10" s="27">
        <v>0</v>
      </c>
      <c r="S10" s="63" t="s">
        <v>529</v>
      </c>
      <c r="T10" s="42">
        <v>0</v>
      </c>
      <c r="U10" s="63" t="s">
        <v>531</v>
      </c>
      <c r="V10" s="63" t="s">
        <v>530</v>
      </c>
      <c r="W10" s="42" t="s">
        <v>492</v>
      </c>
      <c r="X10" s="63" t="s">
        <v>113</v>
      </c>
      <c r="Y10" s="58" t="s">
        <v>529</v>
      </c>
      <c r="Z10" s="42" t="s">
        <v>115</v>
      </c>
      <c r="AA10" s="42" t="s">
        <v>327</v>
      </c>
      <c r="AB10" s="27">
        <v>0.62083333333333335</v>
      </c>
    </row>
    <row r="11" spans="1:28" x14ac:dyDescent="0.25">
      <c r="A11" s="64"/>
      <c r="B11" s="42"/>
      <c r="C11" s="42"/>
      <c r="D11" s="27">
        <v>-207.63194444444446</v>
      </c>
      <c r="E11" s="23" t="s">
        <v>297</v>
      </c>
      <c r="F11" s="25" t="s">
        <v>297</v>
      </c>
      <c r="G11" s="42" t="s">
        <v>28</v>
      </c>
      <c r="H11" s="42" t="s">
        <v>29</v>
      </c>
      <c r="I11" s="27">
        <f>_xlfn.XLOOKUP(G11,'Item Usage'!$B$59:$B$65,'Item Usage'!$D$59:$D$65,"---",0,1)</f>
        <v>83.773611111111123</v>
      </c>
      <c r="J11" s="23" t="str">
        <f>_xlfn.XLOOKUP(G11,'Item Usage'!$B$70:$B$100,'Item Usage'!$D$70:$D$100,"---",0,1)</f>
        <v>---</v>
      </c>
      <c r="K11" s="42" t="s">
        <v>492</v>
      </c>
      <c r="L11" s="27" cm="1">
        <f t="array" ref="L11">IF(D11="---","---", SumHH((D11,O11,R11), I11))</f>
        <v>0.26111111111110102</v>
      </c>
      <c r="M11" s="23" t="str">
        <f>IF($E11="---","---",($E11+$O11+$R11)-$J11)</f>
        <v>---</v>
      </c>
      <c r="N11" s="69" t="str">
        <f>IF($F11="---","---",($F11+$O11+$R11))</f>
        <v>---</v>
      </c>
      <c r="O11" s="27">
        <v>0</v>
      </c>
      <c r="P11" s="42"/>
      <c r="Q11" s="42" t="s">
        <v>411</v>
      </c>
      <c r="R11" s="27">
        <v>291.66666666666669</v>
      </c>
      <c r="S11" s="63" t="s">
        <v>407</v>
      </c>
      <c r="T11" s="42">
        <v>0</v>
      </c>
      <c r="U11" s="63"/>
      <c r="V11" s="63" t="s">
        <v>408</v>
      </c>
      <c r="W11" s="42" t="s">
        <v>535</v>
      </c>
      <c r="X11" s="63" t="s">
        <v>410</v>
      </c>
      <c r="Y11" s="58" t="s">
        <v>409</v>
      </c>
      <c r="Z11" s="42" t="s">
        <v>115</v>
      </c>
      <c r="AA11" s="42" t="s">
        <v>328</v>
      </c>
      <c r="AB11" s="27">
        <v>289.58333333333331</v>
      </c>
    </row>
    <row r="12" spans="1:28" x14ac:dyDescent="0.25">
      <c r="A12" s="64" t="b">
        <v>0</v>
      </c>
      <c r="B12" s="42"/>
      <c r="C12" s="42" t="s">
        <v>771</v>
      </c>
      <c r="D12" s="27">
        <v>83.65</v>
      </c>
      <c r="E12" s="23" t="s">
        <v>297</v>
      </c>
      <c r="F12" s="25" t="s">
        <v>297</v>
      </c>
      <c r="G12" s="42" t="s">
        <v>28</v>
      </c>
      <c r="H12" s="42" t="s">
        <v>29</v>
      </c>
      <c r="I12" s="27">
        <f>_xlfn.XLOOKUP(G12,'Item Usage'!$B$59:$B$65,'Item Usage'!$D$59:$D$65,"---",0,1)</f>
        <v>83.773611111111123</v>
      </c>
      <c r="J12" s="23" t="str">
        <f>_xlfn.XLOOKUP(G12,'Item Usage'!$B$70:$B$100,'Item Usage'!$D$70:$D$100,"---",0,1)</f>
        <v>---</v>
      </c>
      <c r="K12" s="42" t="s">
        <v>492</v>
      </c>
      <c r="L12" s="27" cm="1">
        <f t="array" ref="L12">IF(D12="---","---", SumHH((D12,O12,R12), I12))</f>
        <v>0.3972222222222222</v>
      </c>
      <c r="M12" s="23" t="str">
        <f>IF($E12="---","---",($E12+$O12+$R12)-$J12)</f>
        <v>---</v>
      </c>
      <c r="N12" s="69" t="str">
        <f>IF($F12="---","---",($F12+$O12+$R12))</f>
        <v>---</v>
      </c>
      <c r="O12" s="27">
        <v>0</v>
      </c>
      <c r="P12" s="42"/>
      <c r="Q12" s="42" t="s">
        <v>101</v>
      </c>
      <c r="R12" s="27">
        <v>0.52083333333333337</v>
      </c>
      <c r="S12" s="63" t="s">
        <v>379</v>
      </c>
      <c r="T12" s="42">
        <v>0</v>
      </c>
      <c r="U12" s="63"/>
      <c r="V12" s="63" t="s">
        <v>380</v>
      </c>
      <c r="W12" s="42" t="s">
        <v>519</v>
      </c>
      <c r="X12" s="63" t="s">
        <v>141</v>
      </c>
      <c r="Y12" s="58" t="s">
        <v>381</v>
      </c>
      <c r="Z12" s="42" t="s">
        <v>115</v>
      </c>
      <c r="AA12" s="42" t="s">
        <v>328</v>
      </c>
      <c r="AB12" s="27">
        <v>0.46875</v>
      </c>
    </row>
    <row r="13" spans="1:28" x14ac:dyDescent="0.25">
      <c r="A13" s="64"/>
      <c r="B13" s="42"/>
      <c r="C13" s="42"/>
      <c r="D13" s="27">
        <v>83.264583333333334</v>
      </c>
      <c r="E13" s="23" t="s">
        <v>297</v>
      </c>
      <c r="F13" s="25" t="s">
        <v>297</v>
      </c>
      <c r="G13" s="42" t="s">
        <v>28</v>
      </c>
      <c r="H13" s="42" t="s">
        <v>29</v>
      </c>
      <c r="I13" s="27">
        <f>_xlfn.XLOOKUP(G13,'Item Usage'!$B$59:$B$65,'Item Usage'!$D$59:$D$65,"---",0,1)</f>
        <v>83.773611111111123</v>
      </c>
      <c r="J13" s="23" t="str">
        <f>_xlfn.XLOOKUP(G13,'Item Usage'!$B$70:$B$100,'Item Usage'!$D$70:$D$100,"---",0,1)</f>
        <v>---</v>
      </c>
      <c r="K13" s="42" t="s">
        <v>492</v>
      </c>
      <c r="L13" s="27" cm="1">
        <f t="array" ref="L13">IF(D13="---","---", SumHH((D13,O13,R13), I13))</f>
        <v>0.53263888888887878</v>
      </c>
      <c r="M13" s="23" t="str">
        <f>IF($E13="---","---",($E13+$O13+$R13)-$J13)</f>
        <v>---</v>
      </c>
      <c r="N13" s="69" t="str">
        <f>IF($F13="---","---",($F13+$O13+$R13))</f>
        <v>---</v>
      </c>
      <c r="O13" s="27">
        <v>0</v>
      </c>
      <c r="P13" s="42"/>
      <c r="Q13" s="42" t="s">
        <v>101</v>
      </c>
      <c r="R13" s="27">
        <v>1.0416666666666667</v>
      </c>
      <c r="S13" s="63" t="s">
        <v>111</v>
      </c>
      <c r="T13" s="42">
        <v>0</v>
      </c>
      <c r="U13" s="63"/>
      <c r="V13" s="63" t="s">
        <v>112</v>
      </c>
      <c r="W13" s="42" t="s">
        <v>492</v>
      </c>
      <c r="X13" s="63" t="s">
        <v>113</v>
      </c>
      <c r="Y13" s="58" t="s">
        <v>114</v>
      </c>
      <c r="Z13" s="42" t="s">
        <v>115</v>
      </c>
      <c r="AA13" s="42" t="s">
        <v>327</v>
      </c>
      <c r="AB13" s="27">
        <v>0.91666666666666663</v>
      </c>
    </row>
    <row r="14" spans="1:28" x14ac:dyDescent="0.25">
      <c r="A14" s="64"/>
      <c r="B14" s="42"/>
      <c r="C14" s="42"/>
      <c r="D14" s="27">
        <v>80.15347222222222</v>
      </c>
      <c r="E14" s="23" t="s">
        <v>297</v>
      </c>
      <c r="F14" s="25" t="s">
        <v>297</v>
      </c>
      <c r="G14" s="42" t="s">
        <v>28</v>
      </c>
      <c r="H14" s="42" t="s">
        <v>29</v>
      </c>
      <c r="I14" s="27">
        <f>_xlfn.XLOOKUP(G14,'Item Usage'!$B$59:$B$65,'Item Usage'!$D$59:$D$65,"---",0,1)</f>
        <v>83.773611111111123</v>
      </c>
      <c r="J14" s="23" t="str">
        <f>_xlfn.XLOOKUP(G14,'Item Usage'!$B$70:$B$100,'Item Usage'!$D$70:$D$100,"---",0,1)</f>
        <v>---</v>
      </c>
      <c r="K14" s="42" t="s">
        <v>492</v>
      </c>
      <c r="L14" s="27" cm="1">
        <f t="array" ref="L14">IF(D14="---","---", SumHH((D14,O14,R14), I14))</f>
        <v>0.54652777777776762</v>
      </c>
      <c r="M14" s="23" t="str">
        <f>IF($E14="---","---",($E14+$O14+$R14)-$J14)</f>
        <v>---</v>
      </c>
      <c r="N14" s="69" t="str">
        <f>IF($F14="---","---",($F14+$O14+$R14))</f>
        <v>---</v>
      </c>
      <c r="O14" s="27">
        <v>0</v>
      </c>
      <c r="P14" s="42"/>
      <c r="Q14" s="42" t="s">
        <v>101</v>
      </c>
      <c r="R14" s="27">
        <v>4.166666666666667</v>
      </c>
      <c r="S14" s="63" t="s">
        <v>182</v>
      </c>
      <c r="T14" s="42">
        <v>0</v>
      </c>
      <c r="U14" s="63"/>
      <c r="V14" s="63" t="s">
        <v>183</v>
      </c>
      <c r="W14" s="42" t="s">
        <v>492</v>
      </c>
      <c r="X14" s="63" t="s">
        <v>113</v>
      </c>
      <c r="Y14" s="58">
        <v>5328003</v>
      </c>
      <c r="Z14" s="42" t="s">
        <v>115</v>
      </c>
      <c r="AA14" s="42" t="s">
        <v>327</v>
      </c>
      <c r="AB14" s="27">
        <v>3.75</v>
      </c>
    </row>
    <row r="15" spans="1:28" x14ac:dyDescent="0.25">
      <c r="A15" s="64"/>
      <c r="B15" s="42"/>
      <c r="C15" s="42"/>
      <c r="D15" s="27">
        <v>80.15347222222222</v>
      </c>
      <c r="E15" s="23" t="s">
        <v>297</v>
      </c>
      <c r="F15" s="25" t="s">
        <v>297</v>
      </c>
      <c r="G15" s="42" t="s">
        <v>28</v>
      </c>
      <c r="H15" s="42" t="s">
        <v>29</v>
      </c>
      <c r="I15" s="27">
        <f>_xlfn.XLOOKUP(G15,'Item Usage'!$B$59:$B$65,'Item Usage'!$D$59:$D$65,"---",0,1)</f>
        <v>83.773611111111123</v>
      </c>
      <c r="J15" s="23" t="str">
        <f>_xlfn.XLOOKUP(G15,'Item Usage'!$B$70:$B$100,'Item Usage'!$D$70:$D$100,"---",0,1)</f>
        <v>---</v>
      </c>
      <c r="K15" s="42" t="s">
        <v>492</v>
      </c>
      <c r="L15" s="27" cm="1">
        <f t="array" ref="L15">IF(D15="---","---", SumHH((D15,O15,R15), I15))</f>
        <v>0.54652777777776762</v>
      </c>
      <c r="M15" s="23" t="str">
        <f>IF($E15="---","---",($E15+$O15+$R15)-$J15)</f>
        <v>---</v>
      </c>
      <c r="N15" s="69" t="str">
        <f>IF($F15="---","---",($F15+$O15+$R15))</f>
        <v>---</v>
      </c>
      <c r="O15" s="27">
        <v>0</v>
      </c>
      <c r="P15" s="42"/>
      <c r="Q15" s="42" t="s">
        <v>101</v>
      </c>
      <c r="R15" s="27">
        <v>4.166666666666667</v>
      </c>
      <c r="S15" s="63" t="s">
        <v>191</v>
      </c>
      <c r="T15" s="42">
        <v>0</v>
      </c>
      <c r="U15" s="63"/>
      <c r="V15" s="63" t="s">
        <v>192</v>
      </c>
      <c r="W15" s="42" t="s">
        <v>538</v>
      </c>
      <c r="X15" s="63" t="s">
        <v>193</v>
      </c>
      <c r="Y15" s="58" t="s">
        <v>194</v>
      </c>
      <c r="Z15" s="42" t="s">
        <v>195</v>
      </c>
      <c r="AA15" s="42" t="s">
        <v>328</v>
      </c>
      <c r="AB15" s="27">
        <v>3.75</v>
      </c>
    </row>
    <row r="16" spans="1:28" x14ac:dyDescent="0.25">
      <c r="A16" s="64" t="b">
        <v>0</v>
      </c>
      <c r="B16" s="42"/>
      <c r="C16" s="42" t="s">
        <v>771</v>
      </c>
      <c r="D16" s="27">
        <v>83.65</v>
      </c>
      <c r="E16" s="23" t="s">
        <v>297</v>
      </c>
      <c r="F16" s="25" t="s">
        <v>297</v>
      </c>
      <c r="G16" s="42" t="s">
        <v>28</v>
      </c>
      <c r="H16" s="42" t="s">
        <v>29</v>
      </c>
      <c r="I16" s="27">
        <f>_xlfn.XLOOKUP(G16,'Item Usage'!$B$59:$B$65,'Item Usage'!$D$59:$D$65,"---",0,1)</f>
        <v>83.773611111111123</v>
      </c>
      <c r="J16" s="23" t="str">
        <f>_xlfn.XLOOKUP(G16,'Item Usage'!$B$70:$B$100,'Item Usage'!$D$70:$D$100,"---",0,1)</f>
        <v>---</v>
      </c>
      <c r="K16" s="42" t="s">
        <v>492</v>
      </c>
      <c r="L16" s="27" cm="1">
        <f t="array" ref="L16">IF(D16="---","---", SumHH((D16,O16,R16), I16))</f>
        <v>0.91805555555555551</v>
      </c>
      <c r="M16" s="23" t="str">
        <f>IF($E16="---","---",($E16+$O16+$R16)-$J16)</f>
        <v>---</v>
      </c>
      <c r="N16" s="69" t="str">
        <f>IF($F16="---","---",($F16+$O16+$R16))</f>
        <v>---</v>
      </c>
      <c r="O16" s="27">
        <v>0</v>
      </c>
      <c r="P16" s="42"/>
      <c r="Q16" s="42" t="s">
        <v>101</v>
      </c>
      <c r="R16" s="27">
        <v>1.0416666666666667</v>
      </c>
      <c r="S16" s="63" t="s">
        <v>123</v>
      </c>
      <c r="T16" s="42">
        <v>0</v>
      </c>
      <c r="U16" s="63" t="s">
        <v>124</v>
      </c>
      <c r="V16" s="63" t="s">
        <v>125</v>
      </c>
      <c r="W16" s="42" t="s">
        <v>495</v>
      </c>
      <c r="X16" s="63" t="s">
        <v>105</v>
      </c>
      <c r="Y16" s="58">
        <v>7100006</v>
      </c>
      <c r="Z16" s="42">
        <v>64643</v>
      </c>
      <c r="AA16" s="42" t="s">
        <v>326</v>
      </c>
      <c r="AB16" s="27">
        <v>0.83333333333333337</v>
      </c>
    </row>
    <row r="17" spans="1:28" x14ac:dyDescent="0.25">
      <c r="A17" s="64" t="b">
        <v>0</v>
      </c>
      <c r="B17" s="42"/>
      <c r="C17" s="42" t="s">
        <v>771</v>
      </c>
      <c r="D17" s="27">
        <v>83.65</v>
      </c>
      <c r="E17" s="23" t="s">
        <v>297</v>
      </c>
      <c r="F17" s="25" t="s">
        <v>297</v>
      </c>
      <c r="G17" s="42" t="s">
        <v>28</v>
      </c>
      <c r="H17" s="42" t="s">
        <v>29</v>
      </c>
      <c r="I17" s="27">
        <f>_xlfn.XLOOKUP(G17,'Item Usage'!$B$59:$B$65,'Item Usage'!$D$59:$D$65,"---",0,1)</f>
        <v>83.773611111111123</v>
      </c>
      <c r="J17" s="23" t="str">
        <f>_xlfn.XLOOKUP(G17,'Item Usage'!$B$70:$B$100,'Item Usage'!$D$70:$D$100,"---",0,1)</f>
        <v>---</v>
      </c>
      <c r="K17" s="42" t="s">
        <v>492</v>
      </c>
      <c r="L17" s="27" cm="1">
        <f t="array" ref="L17">IF(D17="---","---", SumHH((D17,O17,R17), I17))</f>
        <v>0.91805555555555551</v>
      </c>
      <c r="M17" s="23" t="str">
        <f>IF($E17="---","---",($E17+$O17+$R17)-$J17)</f>
        <v>---</v>
      </c>
      <c r="N17" s="69" t="str">
        <f>IF($F17="---","---",($F17+$O17+$R17))</f>
        <v>---</v>
      </c>
      <c r="O17" s="27">
        <v>0</v>
      </c>
      <c r="P17" s="42"/>
      <c r="Q17" s="42" t="s">
        <v>101</v>
      </c>
      <c r="R17" s="27">
        <v>1.0416666666666667</v>
      </c>
      <c r="S17" s="63" t="s">
        <v>123</v>
      </c>
      <c r="T17" s="42">
        <v>0</v>
      </c>
      <c r="U17" s="63" t="s">
        <v>124</v>
      </c>
      <c r="V17" s="63" t="s">
        <v>125</v>
      </c>
      <c r="W17" s="42" t="s">
        <v>505</v>
      </c>
      <c r="X17" s="63" t="s">
        <v>105</v>
      </c>
      <c r="Y17" s="58">
        <v>7100006</v>
      </c>
      <c r="Z17" s="42">
        <v>64643</v>
      </c>
      <c r="AA17" s="42" t="s">
        <v>326</v>
      </c>
      <c r="AB17" s="27">
        <v>0.83333333333333337</v>
      </c>
    </row>
    <row r="18" spans="1:28" x14ac:dyDescent="0.25">
      <c r="A18" s="64" t="b">
        <v>0</v>
      </c>
      <c r="B18" s="42"/>
      <c r="C18" s="42" t="s">
        <v>771</v>
      </c>
      <c r="D18" s="27">
        <v>83.65</v>
      </c>
      <c r="E18" s="23" t="s">
        <v>297</v>
      </c>
      <c r="F18" s="25" t="s">
        <v>297</v>
      </c>
      <c r="G18" s="42" t="s">
        <v>28</v>
      </c>
      <c r="H18" s="42" t="s">
        <v>29</v>
      </c>
      <c r="I18" s="27">
        <f>_xlfn.XLOOKUP(G18,'Item Usage'!$B$59:$B$65,'Item Usage'!$D$59:$D$65,"---",0,1)</f>
        <v>83.773611111111123</v>
      </c>
      <c r="J18" s="23" t="str">
        <f>_xlfn.XLOOKUP(G18,'Item Usage'!$B$70:$B$100,'Item Usage'!$D$70:$D$100,"---",0,1)</f>
        <v>---</v>
      </c>
      <c r="K18" s="42" t="s">
        <v>492</v>
      </c>
      <c r="L18" s="27" cm="1">
        <f t="array" ref="L18">IF(D18="---","---", SumHH((D18,O18,R18), I18))</f>
        <v>0.91805555555555551</v>
      </c>
      <c r="M18" s="23" t="str">
        <f>IF($E18="---","---",($E18+$O18+$R18)-$J18)</f>
        <v>---</v>
      </c>
      <c r="N18" s="69" t="str">
        <f>IF($F18="---","---",($F18+$O18+$R18))</f>
        <v>---</v>
      </c>
      <c r="O18" s="27">
        <v>0</v>
      </c>
      <c r="P18" s="42"/>
      <c r="Q18" s="42" t="s">
        <v>101</v>
      </c>
      <c r="R18" s="27">
        <v>1.0416666666666667</v>
      </c>
      <c r="S18" s="63" t="s">
        <v>120</v>
      </c>
      <c r="T18" s="42">
        <v>0</v>
      </c>
      <c r="U18" s="63"/>
      <c r="V18" s="63" t="s">
        <v>121</v>
      </c>
      <c r="W18" s="42" t="s">
        <v>492</v>
      </c>
      <c r="X18" s="63" t="s">
        <v>113</v>
      </c>
      <c r="Y18" s="58" t="s">
        <v>122</v>
      </c>
      <c r="Z18" s="42" t="s">
        <v>115</v>
      </c>
      <c r="AA18" s="42" t="s">
        <v>327</v>
      </c>
      <c r="AB18" s="27">
        <v>0.91666666666666663</v>
      </c>
    </row>
    <row r="19" spans="1:28" x14ac:dyDescent="0.25">
      <c r="A19" s="64" t="b">
        <v>0</v>
      </c>
      <c r="B19" s="42"/>
      <c r="C19" s="42" t="s">
        <v>771</v>
      </c>
      <c r="D19" s="27">
        <v>83.65</v>
      </c>
      <c r="E19" s="23" t="s">
        <v>297</v>
      </c>
      <c r="F19" s="25" t="s">
        <v>297</v>
      </c>
      <c r="G19" s="42" t="s">
        <v>28</v>
      </c>
      <c r="H19" s="42" t="s">
        <v>29</v>
      </c>
      <c r="I19" s="27">
        <f>_xlfn.XLOOKUP(G19,'Item Usage'!$B$59:$B$65,'Item Usage'!$D$59:$D$65,"---",0,1)</f>
        <v>83.773611111111123</v>
      </c>
      <c r="J19" s="23" t="str">
        <f>_xlfn.XLOOKUP(G19,'Item Usage'!$B$70:$B$100,'Item Usage'!$D$70:$D$100,"---",0,1)</f>
        <v>---</v>
      </c>
      <c r="K19" s="42" t="s">
        <v>492</v>
      </c>
      <c r="L19" s="27" cm="1">
        <f t="array" ref="L19">IF(D19="---","---", SumHH((D19,O19,R19), I19))</f>
        <v>0.91805555555555551</v>
      </c>
      <c r="M19" s="23" t="str">
        <f>IF($E19="---","---",($E19+$O19+$R19)-$J19)</f>
        <v>---</v>
      </c>
      <c r="N19" s="69" t="str">
        <f>IF($F19="---","---",($F19+$O19+$R19))</f>
        <v>---</v>
      </c>
      <c r="O19" s="27">
        <v>0</v>
      </c>
      <c r="P19" s="42"/>
      <c r="Q19" s="42" t="s">
        <v>101</v>
      </c>
      <c r="R19" s="27">
        <v>1.0416666666666667</v>
      </c>
      <c r="S19" s="63" t="s">
        <v>128</v>
      </c>
      <c r="T19" s="42">
        <v>0</v>
      </c>
      <c r="U19" s="63"/>
      <c r="V19" s="63" t="s">
        <v>129</v>
      </c>
      <c r="W19" s="42" t="s">
        <v>522</v>
      </c>
      <c r="X19" s="63" t="s">
        <v>386</v>
      </c>
      <c r="Y19" s="58" t="s">
        <v>130</v>
      </c>
      <c r="Z19" s="42" t="s">
        <v>115</v>
      </c>
      <c r="AA19" s="42" t="s">
        <v>328</v>
      </c>
      <c r="AB19" s="27">
        <v>0.9375</v>
      </c>
    </row>
    <row r="20" spans="1:28" x14ac:dyDescent="0.25">
      <c r="A20" s="64"/>
      <c r="B20" s="42"/>
      <c r="C20" s="42"/>
      <c r="D20" s="27">
        <v>82.711805555555557</v>
      </c>
      <c r="E20" s="23" t="s">
        <v>297</v>
      </c>
      <c r="F20" s="25" t="s">
        <v>297</v>
      </c>
      <c r="G20" s="42" t="s">
        <v>28</v>
      </c>
      <c r="H20" s="42" t="s">
        <v>29</v>
      </c>
      <c r="I20" s="27">
        <f>_xlfn.XLOOKUP(G20,'Item Usage'!$B$59:$B$65,'Item Usage'!$D$59:$D$65,"---",0,1)</f>
        <v>83.773611111111123</v>
      </c>
      <c r="J20" s="23" t="str">
        <f>_xlfn.XLOOKUP(G20,'Item Usage'!$B$70:$B$100,'Item Usage'!$D$70:$D$100,"---",0,1)</f>
        <v>---</v>
      </c>
      <c r="K20" s="42" t="s">
        <v>492</v>
      </c>
      <c r="L20" s="27" cm="1">
        <f t="array" ref="L20">IF(D20="---","---", SumHH((D20,O20,R20), I20))</f>
        <v>1.0215277777777676</v>
      </c>
      <c r="M20" s="23" t="str">
        <f>IF($E20="---","---",($E20+$O20+$R20)-$J20)</f>
        <v>---</v>
      </c>
      <c r="N20" s="69" t="str">
        <f>IF($F20="---","---",($F20+$O20+$R20))</f>
        <v>---</v>
      </c>
      <c r="O20" s="27">
        <v>0</v>
      </c>
      <c r="P20" s="42"/>
      <c r="Q20" s="42" t="s">
        <v>101</v>
      </c>
      <c r="R20" s="27">
        <v>2.0833333333333335</v>
      </c>
      <c r="S20" s="63" t="s">
        <v>135</v>
      </c>
      <c r="T20" s="42">
        <v>0</v>
      </c>
      <c r="U20" s="63"/>
      <c r="V20" s="63" t="s">
        <v>136</v>
      </c>
      <c r="W20" s="42" t="s">
        <v>492</v>
      </c>
      <c r="X20" s="63" t="s">
        <v>113</v>
      </c>
      <c r="Y20" s="58">
        <v>2433004</v>
      </c>
      <c r="Z20" s="42" t="s">
        <v>115</v>
      </c>
      <c r="AA20" s="42" t="s">
        <v>327</v>
      </c>
      <c r="AB20" s="27">
        <v>1.875</v>
      </c>
    </row>
    <row r="21" spans="1:28" x14ac:dyDescent="0.25">
      <c r="A21" s="64"/>
      <c r="B21" s="42"/>
      <c r="C21" s="42"/>
      <c r="D21" s="27">
        <v>82.711805555555557</v>
      </c>
      <c r="E21" s="23" t="s">
        <v>297</v>
      </c>
      <c r="F21" s="25" t="s">
        <v>297</v>
      </c>
      <c r="G21" s="42" t="s">
        <v>28</v>
      </c>
      <c r="H21" s="42" t="s">
        <v>29</v>
      </c>
      <c r="I21" s="27">
        <f>_xlfn.XLOOKUP(G21,'Item Usage'!$B$59:$B$65,'Item Usage'!$D$59:$D$65,"---",0,1)</f>
        <v>83.773611111111123</v>
      </c>
      <c r="J21" s="23" t="str">
        <f>_xlfn.XLOOKUP(G21,'Item Usage'!$B$70:$B$100,'Item Usage'!$D$70:$D$100,"---",0,1)</f>
        <v>---</v>
      </c>
      <c r="K21" s="42" t="s">
        <v>492</v>
      </c>
      <c r="L21" s="27" cm="1">
        <f t="array" ref="L21">IF(D21="---","---", SumHH((D21,O21,R21), I21))</f>
        <v>1.0215277777777676</v>
      </c>
      <c r="M21" s="23" t="str">
        <f>IF($E21="---","---",($E21+$O21+$R21)-$J21)</f>
        <v>---</v>
      </c>
      <c r="N21" s="69" t="str">
        <f>IF($F21="---","---",($F21+$O21+$R21))</f>
        <v>---</v>
      </c>
      <c r="O21" s="27">
        <v>0</v>
      </c>
      <c r="P21" s="42"/>
      <c r="Q21" s="42" t="s">
        <v>101</v>
      </c>
      <c r="R21" s="27">
        <v>2.0833333333333335</v>
      </c>
      <c r="S21" s="63" t="s">
        <v>153</v>
      </c>
      <c r="T21" s="42">
        <v>0</v>
      </c>
      <c r="U21" s="63"/>
      <c r="V21" s="63" t="s">
        <v>154</v>
      </c>
      <c r="W21" s="42" t="s">
        <v>540</v>
      </c>
      <c r="X21" s="63" t="s">
        <v>155</v>
      </c>
      <c r="Y21" s="58">
        <v>6522003</v>
      </c>
      <c r="Z21" s="42" t="s">
        <v>115</v>
      </c>
      <c r="AA21" s="42" t="s">
        <v>328</v>
      </c>
      <c r="AB21" s="27">
        <v>1.875</v>
      </c>
    </row>
    <row r="22" spans="1:28" x14ac:dyDescent="0.25">
      <c r="A22" s="64"/>
      <c r="B22" s="42"/>
      <c r="C22" s="42"/>
      <c r="D22" s="27">
        <v>82.711805555555557</v>
      </c>
      <c r="E22" s="23" t="s">
        <v>297</v>
      </c>
      <c r="F22" s="25" t="s">
        <v>297</v>
      </c>
      <c r="G22" s="42" t="s">
        <v>28</v>
      </c>
      <c r="H22" s="42" t="s">
        <v>29</v>
      </c>
      <c r="I22" s="27">
        <f>_xlfn.XLOOKUP(G22,'Item Usage'!$B$59:$B$65,'Item Usage'!$D$59:$D$65,"---",0,1)</f>
        <v>83.773611111111123</v>
      </c>
      <c r="J22" s="23" t="str">
        <f>_xlfn.XLOOKUP(G22,'Item Usage'!$B$70:$B$100,'Item Usage'!$D$70:$D$100,"---",0,1)</f>
        <v>---</v>
      </c>
      <c r="K22" s="42" t="s">
        <v>492</v>
      </c>
      <c r="L22" s="27" cm="1">
        <f t="array" ref="L22">IF(D22="---","---", SumHH((D22,O22,R22), I22))</f>
        <v>1.0215277777777676</v>
      </c>
      <c r="M22" s="23" t="str">
        <f>IF($E22="---","---",($E22+$O22+$R22)-$J22)</f>
        <v>---</v>
      </c>
      <c r="N22" s="69" t="str">
        <f>IF($F22="---","---",($F22+$O22+$R22))</f>
        <v>---</v>
      </c>
      <c r="O22" s="27">
        <v>0</v>
      </c>
      <c r="P22" s="42"/>
      <c r="Q22" s="42" t="s">
        <v>101</v>
      </c>
      <c r="R22" s="27">
        <v>2.0833333333333335</v>
      </c>
      <c r="S22" s="63" t="s">
        <v>157</v>
      </c>
      <c r="T22" s="42">
        <v>0</v>
      </c>
      <c r="U22" s="63"/>
      <c r="V22" s="63" t="s">
        <v>158</v>
      </c>
      <c r="W22" s="42" t="s">
        <v>540</v>
      </c>
      <c r="X22" s="63" t="s">
        <v>155</v>
      </c>
      <c r="Y22" s="58">
        <v>6522004</v>
      </c>
      <c r="Z22" s="42" t="s">
        <v>115</v>
      </c>
      <c r="AA22" s="42" t="s">
        <v>328</v>
      </c>
      <c r="AB22" s="27">
        <v>1.875</v>
      </c>
    </row>
    <row r="23" spans="1:28" x14ac:dyDescent="0.25">
      <c r="A23" s="64"/>
      <c r="B23" s="42"/>
      <c r="C23" s="42"/>
      <c r="D23" s="27">
        <v>82.711805555555557</v>
      </c>
      <c r="E23" s="23" t="s">
        <v>297</v>
      </c>
      <c r="F23" s="25" t="s">
        <v>297</v>
      </c>
      <c r="G23" s="42" t="s">
        <v>28</v>
      </c>
      <c r="H23" s="42" t="s">
        <v>29</v>
      </c>
      <c r="I23" s="27">
        <f>_xlfn.XLOOKUP(G23,'Item Usage'!$B$59:$B$65,'Item Usage'!$D$59:$D$65,"---",0,1)</f>
        <v>83.773611111111123</v>
      </c>
      <c r="J23" s="23" t="str">
        <f>_xlfn.XLOOKUP(G23,'Item Usage'!$B$70:$B$100,'Item Usage'!$D$70:$D$100,"---",0,1)</f>
        <v>---</v>
      </c>
      <c r="K23" s="42" t="s">
        <v>492</v>
      </c>
      <c r="L23" s="27" cm="1">
        <f t="array" ref="L23">IF(D23="---","---", SumHH((D23,O23,R23), I23))</f>
        <v>1.0215277777777676</v>
      </c>
      <c r="M23" s="23" t="str">
        <f>IF($E23="---","---",($E23+$O23+$R23)-$J23)</f>
        <v>---</v>
      </c>
      <c r="N23" s="69" t="str">
        <f>IF($F23="---","---",($F23+$O23+$R23))</f>
        <v>---</v>
      </c>
      <c r="O23" s="27">
        <v>0</v>
      </c>
      <c r="P23" s="42"/>
      <c r="Q23" s="42" t="s">
        <v>101</v>
      </c>
      <c r="R23" s="27">
        <v>2.0833333333333335</v>
      </c>
      <c r="S23" s="63" t="s">
        <v>146</v>
      </c>
      <c r="T23" s="42">
        <v>0</v>
      </c>
      <c r="U23" s="63"/>
      <c r="V23" s="63" t="s">
        <v>147</v>
      </c>
      <c r="W23" s="42" t="s">
        <v>541</v>
      </c>
      <c r="X23" s="63" t="s">
        <v>148</v>
      </c>
      <c r="Y23" s="58">
        <v>6521003</v>
      </c>
      <c r="Z23" s="42" t="s">
        <v>115</v>
      </c>
      <c r="AA23" s="42" t="s">
        <v>328</v>
      </c>
      <c r="AB23" s="27">
        <v>1.875</v>
      </c>
    </row>
    <row r="24" spans="1:28" x14ac:dyDescent="0.25">
      <c r="A24" s="64"/>
      <c r="B24" s="42"/>
      <c r="C24" s="42"/>
      <c r="D24" s="27">
        <v>82.711805555555557</v>
      </c>
      <c r="E24" s="23" t="s">
        <v>297</v>
      </c>
      <c r="F24" s="25" t="s">
        <v>297</v>
      </c>
      <c r="G24" s="42" t="s">
        <v>28</v>
      </c>
      <c r="H24" s="42" t="s">
        <v>29</v>
      </c>
      <c r="I24" s="27">
        <f>_xlfn.XLOOKUP(G24,'Item Usage'!$B$59:$B$65,'Item Usage'!$D$59:$D$65,"---",0,1)</f>
        <v>83.773611111111123</v>
      </c>
      <c r="J24" s="23" t="str">
        <f>_xlfn.XLOOKUP(G24,'Item Usage'!$B$70:$B$100,'Item Usage'!$D$70:$D$100,"---",0,1)</f>
        <v>---</v>
      </c>
      <c r="K24" s="42" t="s">
        <v>492</v>
      </c>
      <c r="L24" s="27" cm="1">
        <f t="array" ref="L24">IF(D24="---","---", SumHH((D24,O24,R24), I24))</f>
        <v>1.0215277777777676</v>
      </c>
      <c r="M24" s="23" t="str">
        <f>IF($E24="---","---",($E24+$O24+$R24)-$J24)</f>
        <v>---</v>
      </c>
      <c r="N24" s="69" t="str">
        <f>IF($F24="---","---",($F24+$O24+$R24))</f>
        <v>---</v>
      </c>
      <c r="O24" s="27">
        <v>0</v>
      </c>
      <c r="P24" s="42"/>
      <c r="Q24" s="42" t="s">
        <v>101</v>
      </c>
      <c r="R24" s="27">
        <v>2.0833333333333335</v>
      </c>
      <c r="S24" s="63" t="s">
        <v>150</v>
      </c>
      <c r="T24" s="42">
        <v>0</v>
      </c>
      <c r="U24" s="63"/>
      <c r="V24" s="63" t="s">
        <v>151</v>
      </c>
      <c r="W24" s="42" t="s">
        <v>541</v>
      </c>
      <c r="X24" s="63" t="s">
        <v>148</v>
      </c>
      <c r="Y24" s="58">
        <v>6521004</v>
      </c>
      <c r="Z24" s="42" t="s">
        <v>115</v>
      </c>
      <c r="AA24" s="42" t="s">
        <v>328</v>
      </c>
      <c r="AB24" s="27">
        <v>1.875</v>
      </c>
    </row>
    <row r="25" spans="1:28" x14ac:dyDescent="0.25">
      <c r="A25" s="64"/>
      <c r="B25" s="42"/>
      <c r="C25" s="42"/>
      <c r="D25" s="27">
        <v>82.711805555555557</v>
      </c>
      <c r="E25" s="23" t="s">
        <v>297</v>
      </c>
      <c r="F25" s="25" t="s">
        <v>297</v>
      </c>
      <c r="G25" s="42" t="s">
        <v>28</v>
      </c>
      <c r="H25" s="42" t="s">
        <v>29</v>
      </c>
      <c r="I25" s="27">
        <f>_xlfn.XLOOKUP(G25,'Item Usage'!$B$59:$B$65,'Item Usage'!$D$59:$D$65,"---",0,1)</f>
        <v>83.773611111111123</v>
      </c>
      <c r="J25" s="23" t="str">
        <f>_xlfn.XLOOKUP(G25,'Item Usage'!$B$70:$B$100,'Item Usage'!$D$70:$D$100,"---",0,1)</f>
        <v>---</v>
      </c>
      <c r="K25" s="42" t="s">
        <v>492</v>
      </c>
      <c r="L25" s="27" cm="1">
        <f t="array" ref="L25">IF(D25="---","---", SumHH((D25,O25,R25), I25))</f>
        <v>1.0215277777777676</v>
      </c>
      <c r="M25" s="23" t="str">
        <f>IF($E25="---","---",($E25+$O25+$R25)-$J25)</f>
        <v>---</v>
      </c>
      <c r="N25" s="69" t="str">
        <f>IF($F25="---","---",($F25+$O25+$R25))</f>
        <v>---</v>
      </c>
      <c r="O25" s="27">
        <v>0</v>
      </c>
      <c r="P25" s="42"/>
      <c r="Q25" s="42" t="s">
        <v>101</v>
      </c>
      <c r="R25" s="27">
        <v>2.0833333333333335</v>
      </c>
      <c r="S25" s="63" t="s">
        <v>139</v>
      </c>
      <c r="T25" s="42">
        <v>0</v>
      </c>
      <c r="U25" s="63"/>
      <c r="V25" s="63" t="s">
        <v>140</v>
      </c>
      <c r="W25" s="42" t="s">
        <v>519</v>
      </c>
      <c r="X25" s="63" t="s">
        <v>141</v>
      </c>
      <c r="Y25" s="58">
        <v>6320007</v>
      </c>
      <c r="Z25" s="42" t="s">
        <v>115</v>
      </c>
      <c r="AA25" s="42" t="s">
        <v>328</v>
      </c>
      <c r="AB25" s="27">
        <v>1.875</v>
      </c>
    </row>
    <row r="26" spans="1:28" x14ac:dyDescent="0.25">
      <c r="A26" s="64"/>
      <c r="B26" s="42"/>
      <c r="C26" s="42"/>
      <c r="D26" s="27">
        <v>82.711805555555557</v>
      </c>
      <c r="E26" s="23" t="s">
        <v>297</v>
      </c>
      <c r="F26" s="25" t="s">
        <v>297</v>
      </c>
      <c r="G26" s="42" t="s">
        <v>28</v>
      </c>
      <c r="H26" s="42" t="s">
        <v>29</v>
      </c>
      <c r="I26" s="27">
        <f>_xlfn.XLOOKUP(G26,'Item Usage'!$B$59:$B$65,'Item Usage'!$D$59:$D$65,"---",0,1)</f>
        <v>83.773611111111123</v>
      </c>
      <c r="J26" s="23" t="str">
        <f>_xlfn.XLOOKUP(G26,'Item Usage'!$B$70:$B$100,'Item Usage'!$D$70:$D$100,"---",0,1)</f>
        <v>---</v>
      </c>
      <c r="K26" s="42" t="s">
        <v>492</v>
      </c>
      <c r="L26" s="27" cm="1">
        <f t="array" ref="L26">IF(D26="---","---", SumHH((D26,O26,R26), I26))</f>
        <v>1.0215277777777676</v>
      </c>
      <c r="M26" s="23" t="str">
        <f>IF($E26="---","---",($E26+$O26+$R26)-$J26)</f>
        <v>---</v>
      </c>
      <c r="N26" s="69" t="str">
        <f>IF($F26="---","---",($F26+$O26+$R26))</f>
        <v>---</v>
      </c>
      <c r="O26" s="27">
        <v>0</v>
      </c>
      <c r="P26" s="42"/>
      <c r="Q26" s="42" t="s">
        <v>101</v>
      </c>
      <c r="R26" s="27">
        <v>2.0833333333333335</v>
      </c>
      <c r="S26" s="63" t="s">
        <v>143</v>
      </c>
      <c r="T26" s="42">
        <v>0</v>
      </c>
      <c r="U26" s="63"/>
      <c r="V26" s="63" t="s">
        <v>144</v>
      </c>
      <c r="W26" s="42" t="s">
        <v>519</v>
      </c>
      <c r="X26" s="63" t="s">
        <v>141</v>
      </c>
      <c r="Y26" s="58">
        <v>6320008</v>
      </c>
      <c r="Z26" s="42" t="s">
        <v>115</v>
      </c>
      <c r="AA26" s="42" t="s">
        <v>328</v>
      </c>
      <c r="AB26" s="27">
        <v>1.875</v>
      </c>
    </row>
    <row r="27" spans="1:28" x14ac:dyDescent="0.25">
      <c r="A27" s="64" t="b">
        <v>0</v>
      </c>
      <c r="B27" s="42"/>
      <c r="C27" s="42" t="s">
        <v>777</v>
      </c>
      <c r="D27" s="26">
        <v>83.773611111111123</v>
      </c>
      <c r="E27" s="23" t="s">
        <v>297</v>
      </c>
      <c r="F27" s="29" t="s">
        <v>297</v>
      </c>
      <c r="G27" s="42" t="s">
        <v>28</v>
      </c>
      <c r="H27" s="42" t="s">
        <v>29</v>
      </c>
      <c r="I27" s="26">
        <f>_xlfn.XLOOKUP(G27,'Item Usage'!$B$59:$B$65,'Item Usage'!$D$59:$D$65,"---",0,1)</f>
        <v>83.773611111111123</v>
      </c>
      <c r="J27" s="23" t="str">
        <f>_xlfn.XLOOKUP(G27,'Item Usage'!$B$70:$B$100,'Item Usage'!$D$70:$D$100,"---",0,1)</f>
        <v>---</v>
      </c>
      <c r="K27" s="42" t="s">
        <v>492</v>
      </c>
      <c r="L27" s="27" cm="1">
        <f t="array" ref="L27">IF(D27="---","---", SumHH((D27,O27,R27), I27))</f>
        <v>1.0416666666666667</v>
      </c>
      <c r="M27" s="23" t="str">
        <f>IF($E27="---","---",($E27+$O27+$R27)-$J27)</f>
        <v>---</v>
      </c>
      <c r="N27" s="69" t="str">
        <f>IF($F27="---","---",($F27+$O27+$R27))</f>
        <v>---</v>
      </c>
      <c r="O27" s="27">
        <v>0</v>
      </c>
      <c r="P27" s="42"/>
      <c r="Q27" s="42" t="s">
        <v>101</v>
      </c>
      <c r="R27" s="27">
        <v>1.0416666666666667</v>
      </c>
      <c r="S27" s="63" t="s">
        <v>132</v>
      </c>
      <c r="T27" s="42">
        <v>0</v>
      </c>
      <c r="U27" s="63" t="s">
        <v>124</v>
      </c>
      <c r="V27" s="63" t="s">
        <v>133</v>
      </c>
      <c r="W27" s="42" t="s">
        <v>495</v>
      </c>
      <c r="X27" s="63" t="s">
        <v>105</v>
      </c>
      <c r="Y27" s="58">
        <v>7100009</v>
      </c>
      <c r="Z27" s="42">
        <v>64643</v>
      </c>
      <c r="AA27" s="42" t="s">
        <v>326</v>
      </c>
      <c r="AB27" s="27">
        <v>0.83333333333333337</v>
      </c>
    </row>
    <row r="28" spans="1:28" x14ac:dyDescent="0.25">
      <c r="A28" s="64" t="b">
        <v>0</v>
      </c>
      <c r="B28" s="42"/>
      <c r="C28" s="42" t="s">
        <v>777</v>
      </c>
      <c r="D28" s="27">
        <v>83.773611111111123</v>
      </c>
      <c r="E28" s="23" t="s">
        <v>297</v>
      </c>
      <c r="F28" s="25" t="s">
        <v>297</v>
      </c>
      <c r="G28" s="42" t="s">
        <v>28</v>
      </c>
      <c r="H28" s="42" t="s">
        <v>29</v>
      </c>
      <c r="I28" s="27">
        <f>_xlfn.XLOOKUP(G28,'Item Usage'!$B$59:$B$65,'Item Usage'!$D$59:$D$65,"---",0,1)</f>
        <v>83.773611111111123</v>
      </c>
      <c r="J28" s="23" t="str">
        <f>_xlfn.XLOOKUP(G28,'Item Usage'!$B$70:$B$100,'Item Usage'!$D$70:$D$100,"---",0,1)</f>
        <v>---</v>
      </c>
      <c r="K28" s="42" t="s">
        <v>492</v>
      </c>
      <c r="L28" s="27" cm="1">
        <f t="array" ref="L28">IF(D28="---","---", SumHH((D28,O28,R28), I28))</f>
        <v>1.0416666666666667</v>
      </c>
      <c r="M28" s="23" t="str">
        <f>IF($E28="---","---",($E28+$O28+$R28)-$J28)</f>
        <v>---</v>
      </c>
      <c r="N28" s="69" t="str">
        <f>IF($F28="---","---",($F28+$O28+$R28))</f>
        <v>---</v>
      </c>
      <c r="O28" s="27">
        <v>0</v>
      </c>
      <c r="P28" s="42"/>
      <c r="Q28" s="42" t="s">
        <v>101</v>
      </c>
      <c r="R28" s="27">
        <v>1.0416666666666667</v>
      </c>
      <c r="S28" s="63" t="s">
        <v>132</v>
      </c>
      <c r="T28" s="42">
        <v>0</v>
      </c>
      <c r="U28" s="63" t="s">
        <v>124</v>
      </c>
      <c r="V28" s="63" t="s">
        <v>133</v>
      </c>
      <c r="W28" s="42" t="s">
        <v>505</v>
      </c>
      <c r="X28" s="63" t="s">
        <v>105</v>
      </c>
      <c r="Y28" s="58">
        <v>7100009</v>
      </c>
      <c r="Z28" s="42">
        <v>64643</v>
      </c>
      <c r="AA28" s="42" t="s">
        <v>326</v>
      </c>
      <c r="AB28" s="27">
        <v>0.83333333333333337</v>
      </c>
    </row>
    <row r="29" spans="1:28" x14ac:dyDescent="0.25">
      <c r="A29" s="64"/>
      <c r="B29" s="42"/>
      <c r="C29" s="42"/>
      <c r="D29" s="27">
        <v>80.915972222222223</v>
      </c>
      <c r="E29" s="23" t="s">
        <v>297</v>
      </c>
      <c r="F29" s="25" t="s">
        <v>297</v>
      </c>
      <c r="G29" s="42" t="s">
        <v>28</v>
      </c>
      <c r="H29" s="42" t="s">
        <v>29</v>
      </c>
      <c r="I29" s="27">
        <f>_xlfn.XLOOKUP(G29,'Item Usage'!$B$59:$B$65,'Item Usage'!$D$59:$D$65,"---",0,1)</f>
        <v>83.773611111111123</v>
      </c>
      <c r="J29" s="23" t="str">
        <f>_xlfn.XLOOKUP(G29,'Item Usage'!$B$70:$B$100,'Item Usage'!$D$70:$D$100,"---",0,1)</f>
        <v>---</v>
      </c>
      <c r="K29" s="42" t="s">
        <v>492</v>
      </c>
      <c r="L29" s="27" cm="1">
        <f t="array" ref="L29">IF(D29="---","---", SumHH((D29,O29,R29), I29))</f>
        <v>1.3090277777777677</v>
      </c>
      <c r="M29" s="23" t="str">
        <f>IF($E29="---","---",($E29+$O29+$R29)-$J29)</f>
        <v>---</v>
      </c>
      <c r="N29" s="69" t="str">
        <f>IF($F29="---","---",($F29+$O29+$R29))</f>
        <v>---</v>
      </c>
      <c r="O29" s="27">
        <v>0</v>
      </c>
      <c r="P29" s="42"/>
      <c r="Q29" s="42" t="s">
        <v>167</v>
      </c>
      <c r="R29" s="27">
        <v>4.166666666666667</v>
      </c>
      <c r="S29" s="63" t="s">
        <v>168</v>
      </c>
      <c r="T29" s="42">
        <v>0</v>
      </c>
      <c r="U29" s="63"/>
      <c r="V29" s="63" t="s">
        <v>169</v>
      </c>
      <c r="W29" s="42" t="s">
        <v>492</v>
      </c>
      <c r="X29" s="63" t="s">
        <v>113</v>
      </c>
      <c r="Y29" s="58" t="s">
        <v>170</v>
      </c>
      <c r="Z29" s="42" t="s">
        <v>115</v>
      </c>
      <c r="AA29" s="42" t="s">
        <v>327</v>
      </c>
      <c r="AB29" s="27">
        <v>3.75</v>
      </c>
    </row>
    <row r="30" spans="1:28" x14ac:dyDescent="0.25">
      <c r="A30" s="64"/>
      <c r="B30" s="42"/>
      <c r="C30" s="42"/>
      <c r="D30" s="27">
        <v>80.915972222222223</v>
      </c>
      <c r="E30" s="23" t="s">
        <v>297</v>
      </c>
      <c r="F30" s="25" t="s">
        <v>297</v>
      </c>
      <c r="G30" s="42" t="s">
        <v>28</v>
      </c>
      <c r="H30" s="42" t="s">
        <v>29</v>
      </c>
      <c r="I30" s="27">
        <f>_xlfn.XLOOKUP(G30,'Item Usage'!$B$59:$B$65,'Item Usage'!$D$59:$D$65,"---",0,1)</f>
        <v>83.773611111111123</v>
      </c>
      <c r="J30" s="23" t="str">
        <f>_xlfn.XLOOKUP(G30,'Item Usage'!$B$70:$B$100,'Item Usage'!$D$70:$D$100,"---",0,1)</f>
        <v>---</v>
      </c>
      <c r="K30" s="42" t="s">
        <v>492</v>
      </c>
      <c r="L30" s="27" cm="1">
        <f t="array" ref="L30">IF(D30="---","---", SumHH((D30,O30,R30), I30))</f>
        <v>1.3090277777777677</v>
      </c>
      <c r="M30" s="23" t="str">
        <f>IF($E30="---","---",($E30+$O30+$R30)-$J30)</f>
        <v>---</v>
      </c>
      <c r="N30" s="69" t="str">
        <f>IF($F30="---","---",($F30+$O30+$R30))</f>
        <v>---</v>
      </c>
      <c r="O30" s="27">
        <v>0</v>
      </c>
      <c r="P30" s="42"/>
      <c r="Q30" s="42" t="s">
        <v>101</v>
      </c>
      <c r="R30" s="27">
        <v>4.166666666666667</v>
      </c>
      <c r="S30" s="63" t="s">
        <v>176</v>
      </c>
      <c r="T30" s="42">
        <v>0</v>
      </c>
      <c r="U30" s="63"/>
      <c r="V30" s="63" t="s">
        <v>177</v>
      </c>
      <c r="W30" s="42" t="s">
        <v>492</v>
      </c>
      <c r="X30" s="63" t="s">
        <v>113</v>
      </c>
      <c r="Y30" s="58">
        <v>2910010</v>
      </c>
      <c r="Z30" s="42" t="s">
        <v>115</v>
      </c>
      <c r="AA30" s="42" t="s">
        <v>327</v>
      </c>
      <c r="AB30" s="27">
        <v>3.75</v>
      </c>
    </row>
    <row r="31" spans="1:28" x14ac:dyDescent="0.25">
      <c r="A31" s="64"/>
      <c r="B31" s="42"/>
      <c r="C31" s="42"/>
      <c r="D31" s="27">
        <v>80.915972222222223</v>
      </c>
      <c r="E31" s="23" t="s">
        <v>297</v>
      </c>
      <c r="F31" s="25" t="s">
        <v>297</v>
      </c>
      <c r="G31" s="42" t="s">
        <v>28</v>
      </c>
      <c r="H31" s="42" t="s">
        <v>29</v>
      </c>
      <c r="I31" s="27">
        <f>_xlfn.XLOOKUP(G31,'Item Usage'!$B$59:$B$65,'Item Usage'!$D$59:$D$65,"---",0,1)</f>
        <v>83.773611111111123</v>
      </c>
      <c r="J31" s="23" t="str">
        <f>_xlfn.XLOOKUP(G31,'Item Usage'!$B$70:$B$100,'Item Usage'!$D$70:$D$100,"---",0,1)</f>
        <v>---</v>
      </c>
      <c r="K31" s="42" t="s">
        <v>492</v>
      </c>
      <c r="L31" s="27" cm="1">
        <f t="array" ref="L31">IF(D31="---","---", SumHH((D31,O31,R31), I31))</f>
        <v>1.3090277777777677</v>
      </c>
      <c r="M31" s="23" t="str">
        <f>IF($E31="---","---",($E31+$O31+$R31)-$J31)</f>
        <v>---</v>
      </c>
      <c r="N31" s="69" t="str">
        <f>IF($F31="---","---",($F31+$O31+$R31))</f>
        <v>---</v>
      </c>
      <c r="O31" s="27">
        <v>0</v>
      </c>
      <c r="P31" s="42"/>
      <c r="Q31" s="42" t="s">
        <v>101</v>
      </c>
      <c r="R31" s="27">
        <v>4.166666666666667</v>
      </c>
      <c r="S31" s="63" t="s">
        <v>179</v>
      </c>
      <c r="T31" s="42">
        <v>0</v>
      </c>
      <c r="U31" s="63"/>
      <c r="V31" s="63" t="s">
        <v>180</v>
      </c>
      <c r="W31" s="42" t="s">
        <v>492</v>
      </c>
      <c r="X31" s="63" t="s">
        <v>113</v>
      </c>
      <c r="Y31" s="58">
        <v>4300003</v>
      </c>
      <c r="Z31" s="42" t="s">
        <v>115</v>
      </c>
      <c r="AA31" s="42" t="s">
        <v>327</v>
      </c>
      <c r="AB31" s="27">
        <v>3.75</v>
      </c>
    </row>
    <row r="32" spans="1:28" x14ac:dyDescent="0.25">
      <c r="A32" s="64"/>
      <c r="B32" s="42"/>
      <c r="C32" s="42"/>
      <c r="D32" s="27">
        <v>80.915972222222223</v>
      </c>
      <c r="E32" s="23" t="s">
        <v>297</v>
      </c>
      <c r="F32" s="25" t="s">
        <v>297</v>
      </c>
      <c r="G32" s="42" t="s">
        <v>28</v>
      </c>
      <c r="H32" s="42" t="s">
        <v>29</v>
      </c>
      <c r="I32" s="27">
        <f>_xlfn.XLOOKUP(G32,'Item Usage'!$B$59:$B$65,'Item Usage'!$D$59:$D$65,"---",0,1)</f>
        <v>83.773611111111123</v>
      </c>
      <c r="J32" s="23" t="str">
        <f>_xlfn.XLOOKUP(G32,'Item Usage'!$B$70:$B$100,'Item Usage'!$D$70:$D$100,"---",0,1)</f>
        <v>---</v>
      </c>
      <c r="K32" s="42" t="s">
        <v>492</v>
      </c>
      <c r="L32" s="27" cm="1">
        <f t="array" ref="L32">IF(D32="---","---", SumHH((D32,O32,R32), I32))</f>
        <v>1.3090277777777677</v>
      </c>
      <c r="M32" s="23" t="str">
        <f>IF($E32="---","---",($E32+$O32+$R32)-$J32)</f>
        <v>---</v>
      </c>
      <c r="N32" s="69" t="str">
        <f>IF($F32="---","---",($F32+$O32+$R32))</f>
        <v>---</v>
      </c>
      <c r="O32" s="27">
        <v>0</v>
      </c>
      <c r="P32" s="42"/>
      <c r="Q32" s="42" t="s">
        <v>101</v>
      </c>
      <c r="R32" s="27">
        <v>4.166666666666667</v>
      </c>
      <c r="S32" s="63" t="s">
        <v>185</v>
      </c>
      <c r="T32" s="42">
        <v>0</v>
      </c>
      <c r="U32" s="63"/>
      <c r="V32" s="63" t="s">
        <v>186</v>
      </c>
      <c r="W32" s="42" t="s">
        <v>492</v>
      </c>
      <c r="X32" s="63" t="s">
        <v>113</v>
      </c>
      <c r="Y32" s="58">
        <v>5334004</v>
      </c>
      <c r="Z32" s="42" t="s">
        <v>115</v>
      </c>
      <c r="AA32" s="42" t="s">
        <v>327</v>
      </c>
      <c r="AB32" s="27">
        <v>3.75</v>
      </c>
    </row>
    <row r="33" spans="1:28" x14ac:dyDescent="0.25">
      <c r="A33" s="64"/>
      <c r="B33" s="42"/>
      <c r="C33" s="42"/>
      <c r="D33" s="27">
        <v>80.915972222222223</v>
      </c>
      <c r="E33" s="23" t="s">
        <v>297</v>
      </c>
      <c r="F33" s="25" t="s">
        <v>297</v>
      </c>
      <c r="G33" s="42" t="s">
        <v>28</v>
      </c>
      <c r="H33" s="42" t="s">
        <v>29</v>
      </c>
      <c r="I33" s="27">
        <f>_xlfn.XLOOKUP(G33,'Item Usage'!$B$59:$B$65,'Item Usage'!$D$59:$D$65,"---",0,1)</f>
        <v>83.773611111111123</v>
      </c>
      <c r="J33" s="23" t="str">
        <f>_xlfn.XLOOKUP(G33,'Item Usage'!$B$70:$B$100,'Item Usage'!$D$70:$D$100,"---",0,1)</f>
        <v>---</v>
      </c>
      <c r="K33" s="42" t="s">
        <v>492</v>
      </c>
      <c r="L33" s="27" cm="1">
        <f t="array" ref="L33">IF(D33="---","---", SumHH((D33,O33,R33), I33))</f>
        <v>1.3090277777777677</v>
      </c>
      <c r="M33" s="23" t="str">
        <f>IF($E33="---","---",($E33+$O33+$R33)-$J33)</f>
        <v>---</v>
      </c>
      <c r="N33" s="69" t="str">
        <f>IF($F33="---","---",($F33+$O33+$R33))</f>
        <v>---</v>
      </c>
      <c r="O33" s="27">
        <v>0</v>
      </c>
      <c r="P33" s="42"/>
      <c r="Q33" s="42" t="s">
        <v>101</v>
      </c>
      <c r="R33" s="27">
        <v>4.166666666666667</v>
      </c>
      <c r="S33" s="63" t="s">
        <v>188</v>
      </c>
      <c r="T33" s="42">
        <v>0</v>
      </c>
      <c r="U33" s="63"/>
      <c r="V33" s="63" t="s">
        <v>189</v>
      </c>
      <c r="W33" s="42" t="s">
        <v>492</v>
      </c>
      <c r="X33" s="63" t="s">
        <v>113</v>
      </c>
      <c r="Y33" s="58">
        <v>5340008</v>
      </c>
      <c r="Z33" s="42" t="s">
        <v>115</v>
      </c>
      <c r="AA33" s="42" t="s">
        <v>327</v>
      </c>
      <c r="AB33" s="27">
        <v>3.75</v>
      </c>
    </row>
    <row r="34" spans="1:28" x14ac:dyDescent="0.25">
      <c r="A34" s="64"/>
      <c r="B34" s="42"/>
      <c r="C34" s="42"/>
      <c r="D34" s="27">
        <v>80.915972222222223</v>
      </c>
      <c r="E34" s="23" t="s">
        <v>297</v>
      </c>
      <c r="F34" s="25" t="s">
        <v>297</v>
      </c>
      <c r="G34" s="42" t="s">
        <v>28</v>
      </c>
      <c r="H34" s="42" t="s">
        <v>29</v>
      </c>
      <c r="I34" s="27">
        <f>_xlfn.XLOOKUP(G34,'Item Usage'!$B$59:$B$65,'Item Usage'!$D$59:$D$65,"---",0,1)</f>
        <v>83.773611111111123</v>
      </c>
      <c r="J34" s="23" t="str">
        <f>_xlfn.XLOOKUP(G34,'Item Usage'!$B$70:$B$100,'Item Usage'!$D$70:$D$100,"---",0,1)</f>
        <v>---</v>
      </c>
      <c r="K34" s="42" t="s">
        <v>492</v>
      </c>
      <c r="L34" s="27" cm="1">
        <f t="array" ref="L34">IF(D34="---","---", SumHH((D34,O34,R34), I34))</f>
        <v>1.3090277777777677</v>
      </c>
      <c r="M34" s="23" t="str">
        <f>IF($E34="---","---",($E34+$O34+$R34)-$J34)</f>
        <v>---</v>
      </c>
      <c r="N34" s="69" t="str">
        <f>IF($F34="---","---",($F34+$O34+$R34))</f>
        <v>---</v>
      </c>
      <c r="O34" s="27">
        <v>0</v>
      </c>
      <c r="P34" s="42"/>
      <c r="Q34" s="42" t="s">
        <v>101</v>
      </c>
      <c r="R34" s="27">
        <v>4.166666666666667</v>
      </c>
      <c r="S34" s="63" t="s">
        <v>394</v>
      </c>
      <c r="T34" s="42">
        <v>0</v>
      </c>
      <c r="U34" s="63"/>
      <c r="V34" s="63" t="s">
        <v>395</v>
      </c>
      <c r="W34" s="42" t="s">
        <v>538</v>
      </c>
      <c r="X34" s="63" t="s">
        <v>193</v>
      </c>
      <c r="Y34" s="58" t="s">
        <v>396</v>
      </c>
      <c r="Z34" s="42" t="s">
        <v>195</v>
      </c>
      <c r="AA34" s="42" t="s">
        <v>328</v>
      </c>
      <c r="AB34" s="27">
        <v>3.75</v>
      </c>
    </row>
    <row r="35" spans="1:28" x14ac:dyDescent="0.25">
      <c r="A35" s="64"/>
      <c r="B35" s="42"/>
      <c r="C35" s="42"/>
      <c r="D35" s="27">
        <v>80.915972222222223</v>
      </c>
      <c r="E35" s="23" t="s">
        <v>297</v>
      </c>
      <c r="F35" s="25" t="s">
        <v>297</v>
      </c>
      <c r="G35" s="42" t="s">
        <v>28</v>
      </c>
      <c r="H35" s="42" t="s">
        <v>29</v>
      </c>
      <c r="I35" s="27">
        <f>_xlfn.XLOOKUP(G35,'Item Usage'!$B$59:$B$65,'Item Usage'!$D$59:$D$65,"---",0,1)</f>
        <v>83.773611111111123</v>
      </c>
      <c r="J35" s="23" t="str">
        <f>_xlfn.XLOOKUP(G35,'Item Usage'!$B$70:$B$100,'Item Usage'!$D$70:$D$100,"---",0,1)</f>
        <v>---</v>
      </c>
      <c r="K35" s="42" t="s">
        <v>492</v>
      </c>
      <c r="L35" s="27" cm="1">
        <f t="array" ref="L35">IF(D35="---","---", SumHH((D35,O35,R35), I35))</f>
        <v>1.3090277777777677</v>
      </c>
      <c r="M35" s="23" t="str">
        <f>IF($E35="---","---",($E35+$O35+$R35)-$J35)</f>
        <v>---</v>
      </c>
      <c r="N35" s="69" t="str">
        <f>IF($F35="---","---",($F35+$O35+$R35))</f>
        <v>---</v>
      </c>
      <c r="O35" s="27">
        <v>0</v>
      </c>
      <c r="P35" s="42"/>
      <c r="Q35" s="42" t="s">
        <v>101</v>
      </c>
      <c r="R35" s="27">
        <v>4.166666666666667</v>
      </c>
      <c r="S35" s="63" t="s">
        <v>203</v>
      </c>
      <c r="T35" s="42">
        <v>0</v>
      </c>
      <c r="U35" s="63"/>
      <c r="V35" s="63" t="s">
        <v>204</v>
      </c>
      <c r="W35" s="42" t="s">
        <v>543</v>
      </c>
      <c r="X35" s="63" t="s">
        <v>205</v>
      </c>
      <c r="Y35" s="58">
        <v>6220007</v>
      </c>
      <c r="Z35" s="42" t="s">
        <v>115</v>
      </c>
      <c r="AA35" s="42" t="s">
        <v>328</v>
      </c>
      <c r="AB35" s="27">
        <v>3.75</v>
      </c>
    </row>
    <row r="36" spans="1:28" x14ac:dyDescent="0.25">
      <c r="A36" s="64"/>
      <c r="B36" s="42"/>
      <c r="C36" s="42"/>
      <c r="D36" s="27">
        <v>80.915972222222223</v>
      </c>
      <c r="E36" s="23" t="s">
        <v>297</v>
      </c>
      <c r="F36" s="25" t="s">
        <v>297</v>
      </c>
      <c r="G36" s="42" t="s">
        <v>28</v>
      </c>
      <c r="H36" s="42" t="s">
        <v>29</v>
      </c>
      <c r="I36" s="27">
        <f>_xlfn.XLOOKUP(G36,'Item Usage'!$B$59:$B$65,'Item Usage'!$D$59:$D$65,"---",0,1)</f>
        <v>83.773611111111123</v>
      </c>
      <c r="J36" s="23" t="str">
        <f>_xlfn.XLOOKUP(G36,'Item Usage'!$B$70:$B$100,'Item Usage'!$D$70:$D$100,"---",0,1)</f>
        <v>---</v>
      </c>
      <c r="K36" s="42" t="s">
        <v>492</v>
      </c>
      <c r="L36" s="27" cm="1">
        <f t="array" ref="L36">IF(D36="---","---", SumHH((D36,O36,R36), I36))</f>
        <v>1.3090277777777677</v>
      </c>
      <c r="M36" s="23" t="str">
        <f>IF($E36="---","---",($E36+$O36+$R36)-$J36)</f>
        <v>---</v>
      </c>
      <c r="N36" s="69" t="str">
        <f>IF($F36="---","---",($F36+$O36+$R36))</f>
        <v>---</v>
      </c>
      <c r="O36" s="27">
        <v>0</v>
      </c>
      <c r="P36" s="42"/>
      <c r="Q36" s="42" t="s">
        <v>101</v>
      </c>
      <c r="R36" s="27">
        <v>4.166666666666667</v>
      </c>
      <c r="S36" s="63" t="s">
        <v>200</v>
      </c>
      <c r="T36" s="42">
        <v>0</v>
      </c>
      <c r="U36" s="63"/>
      <c r="V36" s="63" t="s">
        <v>201</v>
      </c>
      <c r="W36" s="42" t="s">
        <v>544</v>
      </c>
      <c r="X36" s="63" t="s">
        <v>545</v>
      </c>
      <c r="Y36" s="58">
        <v>6410002</v>
      </c>
      <c r="Z36" s="42" t="s">
        <v>115</v>
      </c>
      <c r="AA36" s="42" t="s">
        <v>328</v>
      </c>
      <c r="AB36" s="27">
        <v>3.75</v>
      </c>
    </row>
    <row r="37" spans="1:28" x14ac:dyDescent="0.25">
      <c r="A37" s="64"/>
      <c r="B37" s="42"/>
      <c r="C37" s="42"/>
      <c r="D37" s="27">
        <v>80.915972222222223</v>
      </c>
      <c r="E37" s="23" t="s">
        <v>297</v>
      </c>
      <c r="F37" s="25" t="s">
        <v>297</v>
      </c>
      <c r="G37" s="42" t="s">
        <v>28</v>
      </c>
      <c r="H37" s="42" t="s">
        <v>29</v>
      </c>
      <c r="I37" s="27">
        <f>_xlfn.XLOOKUP(G37,'Item Usage'!$B$59:$B$65,'Item Usage'!$D$59:$D$65,"---",0,1)</f>
        <v>83.773611111111123</v>
      </c>
      <c r="J37" s="23" t="str">
        <f>_xlfn.XLOOKUP(G37,'Item Usage'!$B$70:$B$100,'Item Usage'!$D$70:$D$100,"---",0,1)</f>
        <v>---</v>
      </c>
      <c r="K37" s="42" t="s">
        <v>492</v>
      </c>
      <c r="L37" s="27" cm="1">
        <f t="array" ref="L37">IF(D37="---","---", SumHH((D37,O37,R37), I37))</f>
        <v>1.3090277777777677</v>
      </c>
      <c r="M37" s="23" t="str">
        <f>IF($E37="---","---",($E37+$O37+$R37)-$J37)</f>
        <v>---</v>
      </c>
      <c r="N37" s="69" t="str">
        <f>IF($F37="---","---",($F37+$O37+$R37))</f>
        <v>---</v>
      </c>
      <c r="O37" s="27">
        <v>0</v>
      </c>
      <c r="P37" s="42"/>
      <c r="Q37" s="42" t="s">
        <v>101</v>
      </c>
      <c r="R37" s="27">
        <v>4.166666666666667</v>
      </c>
      <c r="S37" s="63" t="s">
        <v>200</v>
      </c>
      <c r="T37" s="42">
        <v>0</v>
      </c>
      <c r="U37" s="63"/>
      <c r="V37" s="63" t="s">
        <v>201</v>
      </c>
      <c r="W37" s="42" t="s">
        <v>546</v>
      </c>
      <c r="X37" s="63" t="s">
        <v>545</v>
      </c>
      <c r="Y37" s="58">
        <v>6410002</v>
      </c>
      <c r="Z37" s="42" t="s">
        <v>115</v>
      </c>
      <c r="AA37" s="42" t="s">
        <v>328</v>
      </c>
      <c r="AB37" s="27">
        <v>3.75</v>
      </c>
    </row>
    <row r="38" spans="1:28" x14ac:dyDescent="0.25">
      <c r="A38" s="64"/>
      <c r="B38" s="42"/>
      <c r="C38" s="42"/>
      <c r="D38" s="27">
        <v>80.915972222222223</v>
      </c>
      <c r="E38" s="23" t="s">
        <v>297</v>
      </c>
      <c r="F38" s="25" t="s">
        <v>297</v>
      </c>
      <c r="G38" s="42" t="s">
        <v>28</v>
      </c>
      <c r="H38" s="42" t="s">
        <v>29</v>
      </c>
      <c r="I38" s="27">
        <f>_xlfn.XLOOKUP(G38,'Item Usage'!$B$59:$B$65,'Item Usage'!$D$59:$D$65,"---",0,1)</f>
        <v>83.773611111111123</v>
      </c>
      <c r="J38" s="23" t="str">
        <f>_xlfn.XLOOKUP(G38,'Item Usage'!$B$70:$B$100,'Item Usage'!$D$70:$D$100,"---",0,1)</f>
        <v>---</v>
      </c>
      <c r="K38" s="42" t="s">
        <v>492</v>
      </c>
      <c r="L38" s="27" cm="1">
        <f t="array" ref="L38">IF(D38="---","---", SumHH((D38,O38,R38), I38))</f>
        <v>1.3090277777777677</v>
      </c>
      <c r="M38" s="23" t="str">
        <f>IF($E38="---","---",($E38+$O38+$R38)-$J38)</f>
        <v>---</v>
      </c>
      <c r="N38" s="69" t="str">
        <f>IF($F38="---","---",($F38+$O38+$R38))</f>
        <v>---</v>
      </c>
      <c r="O38" s="27">
        <v>0</v>
      </c>
      <c r="P38" s="42"/>
      <c r="Q38" s="42" t="s">
        <v>101</v>
      </c>
      <c r="R38" s="27">
        <v>4.166666666666667</v>
      </c>
      <c r="S38" s="63" t="s">
        <v>200</v>
      </c>
      <c r="T38" s="42">
        <v>0</v>
      </c>
      <c r="U38" s="63"/>
      <c r="V38" s="63" t="s">
        <v>201</v>
      </c>
      <c r="W38" s="42" t="s">
        <v>547</v>
      </c>
      <c r="X38" s="63" t="s">
        <v>545</v>
      </c>
      <c r="Y38" s="58">
        <v>6410002</v>
      </c>
      <c r="Z38" s="42" t="s">
        <v>115</v>
      </c>
      <c r="AA38" s="42" t="s">
        <v>328</v>
      </c>
      <c r="AB38" s="27">
        <v>3.75</v>
      </c>
    </row>
    <row r="39" spans="1:28" x14ac:dyDescent="0.25">
      <c r="A39" s="64"/>
      <c r="B39" s="42"/>
      <c r="C39" s="42"/>
      <c r="D39" s="27">
        <v>80.915972222222223</v>
      </c>
      <c r="E39" s="23" t="s">
        <v>297</v>
      </c>
      <c r="F39" s="25" t="s">
        <v>297</v>
      </c>
      <c r="G39" s="42" t="s">
        <v>28</v>
      </c>
      <c r="H39" s="42" t="s">
        <v>29</v>
      </c>
      <c r="I39" s="27">
        <f>_xlfn.XLOOKUP(G39,'Item Usage'!$B$59:$B$65,'Item Usage'!$D$59:$D$65,"---",0,1)</f>
        <v>83.773611111111123</v>
      </c>
      <c r="J39" s="23" t="str">
        <f>_xlfn.XLOOKUP(G39,'Item Usage'!$B$70:$B$100,'Item Usage'!$D$70:$D$100,"---",0,1)</f>
        <v>---</v>
      </c>
      <c r="K39" s="42" t="s">
        <v>492</v>
      </c>
      <c r="L39" s="27" cm="1">
        <f t="array" ref="L39">IF(D39="---","---", SumHH((D39,O39,R39), I39))</f>
        <v>1.3090277777777677</v>
      </c>
      <c r="M39" s="23" t="str">
        <f>IF($E39="---","---",($E39+$O39+$R39)-$J39)</f>
        <v>---</v>
      </c>
      <c r="N39" s="69" t="str">
        <f>IF($F39="---","---",($F39+$O39+$R39))</f>
        <v>---</v>
      </c>
      <c r="O39" s="27">
        <v>0</v>
      </c>
      <c r="P39" s="42"/>
      <c r="Q39" s="42" t="s">
        <v>101</v>
      </c>
      <c r="R39" s="27">
        <v>4.166666666666667</v>
      </c>
      <c r="S39" s="63" t="s">
        <v>200</v>
      </c>
      <c r="T39" s="42">
        <v>0</v>
      </c>
      <c r="U39" s="63"/>
      <c r="V39" s="63" t="s">
        <v>201</v>
      </c>
      <c r="W39" s="42" t="s">
        <v>548</v>
      </c>
      <c r="X39" s="63" t="s">
        <v>545</v>
      </c>
      <c r="Y39" s="58">
        <v>6410002</v>
      </c>
      <c r="Z39" s="42" t="s">
        <v>115</v>
      </c>
      <c r="AA39" s="42" t="s">
        <v>328</v>
      </c>
      <c r="AB39" s="27">
        <v>3.75</v>
      </c>
    </row>
    <row r="40" spans="1:28" x14ac:dyDescent="0.25">
      <c r="A40" s="64"/>
      <c r="B40" s="42"/>
      <c r="C40" s="42"/>
      <c r="D40" s="27">
        <v>81.075694444444451</v>
      </c>
      <c r="E40" s="23" t="s">
        <v>297</v>
      </c>
      <c r="F40" s="25" t="s">
        <v>297</v>
      </c>
      <c r="G40" s="42" t="s">
        <v>28</v>
      </c>
      <c r="H40" s="42" t="s">
        <v>29</v>
      </c>
      <c r="I40" s="27">
        <f>_xlfn.XLOOKUP(G40,'Item Usage'!$B$59:$B$65,'Item Usage'!$D$59:$D$65,"---",0,1)</f>
        <v>83.773611111111123</v>
      </c>
      <c r="J40" s="23" t="str">
        <f>_xlfn.XLOOKUP(G40,'Item Usage'!$B$70:$B$100,'Item Usage'!$D$70:$D$100,"---",0,1)</f>
        <v>---</v>
      </c>
      <c r="K40" s="42" t="s">
        <v>492</v>
      </c>
      <c r="L40" s="27" cm="1">
        <f t="array" ref="L40">IF(D40="---","---", SumHH((D40,O40,R40), I40))</f>
        <v>1.46875</v>
      </c>
      <c r="M40" s="23" t="str">
        <f>IF($E40="---","---",($E40+$O40+$R40)-$J40)</f>
        <v>---</v>
      </c>
      <c r="N40" s="69" t="str">
        <f>IF($F40="---","---",($F40+$O40+$R40))</f>
        <v>---</v>
      </c>
      <c r="O40" s="27">
        <v>0</v>
      </c>
      <c r="P40" s="42"/>
      <c r="Q40" s="42" t="s">
        <v>101</v>
      </c>
      <c r="R40" s="27">
        <v>4.166666666666667</v>
      </c>
      <c r="S40" s="63" t="s">
        <v>196</v>
      </c>
      <c r="T40" s="42">
        <v>0</v>
      </c>
      <c r="U40" s="63"/>
      <c r="V40" s="63" t="s">
        <v>197</v>
      </c>
      <c r="W40" s="42" t="s">
        <v>549</v>
      </c>
      <c r="X40" s="63" t="s">
        <v>198</v>
      </c>
      <c r="Y40" s="58" t="s">
        <v>199</v>
      </c>
      <c r="Z40" s="42" t="s">
        <v>115</v>
      </c>
      <c r="AA40" s="42" t="s">
        <v>328</v>
      </c>
      <c r="AB40" s="27">
        <v>3.75</v>
      </c>
    </row>
    <row r="41" spans="1:28" x14ac:dyDescent="0.25">
      <c r="A41" s="64"/>
      <c r="B41" s="42"/>
      <c r="C41" s="42"/>
      <c r="D41" s="27">
        <v>81.075694444444451</v>
      </c>
      <c r="E41" s="23" t="s">
        <v>297</v>
      </c>
      <c r="F41" s="25" t="s">
        <v>297</v>
      </c>
      <c r="G41" s="42" t="s">
        <v>28</v>
      </c>
      <c r="H41" s="42" t="s">
        <v>29</v>
      </c>
      <c r="I41" s="27">
        <f>_xlfn.XLOOKUP(G41,'Item Usage'!$B$59:$B$65,'Item Usage'!$D$59:$D$65,"---",0,1)</f>
        <v>83.773611111111123</v>
      </c>
      <c r="J41" s="23" t="str">
        <f>_xlfn.XLOOKUP(G41,'Item Usage'!$B$70:$B$100,'Item Usage'!$D$70:$D$100,"---",0,1)</f>
        <v>---</v>
      </c>
      <c r="K41" s="42" t="s">
        <v>492</v>
      </c>
      <c r="L41" s="27" cm="1">
        <f t="array" ref="L41">IF(D41="---","---", SumHH((D41,O41,R41), I41))</f>
        <v>1.46875</v>
      </c>
      <c r="M41" s="23" t="str">
        <f>IF($E41="---","---",($E41+$O41+$R41)-$J41)</f>
        <v>---</v>
      </c>
      <c r="N41" s="69" t="str">
        <f>IF($F41="---","---",($F41+$O41+$R41))</f>
        <v>---</v>
      </c>
      <c r="O41" s="27">
        <v>0</v>
      </c>
      <c r="P41" s="42"/>
      <c r="Q41" s="42" t="s">
        <v>101</v>
      </c>
      <c r="R41" s="27">
        <v>4.166666666666667</v>
      </c>
      <c r="S41" s="63" t="s">
        <v>196</v>
      </c>
      <c r="T41" s="42">
        <v>0</v>
      </c>
      <c r="U41" s="63"/>
      <c r="V41" s="63" t="s">
        <v>197</v>
      </c>
      <c r="W41" s="42" t="s">
        <v>551</v>
      </c>
      <c r="X41" s="63" t="s">
        <v>198</v>
      </c>
      <c r="Y41" s="58" t="s">
        <v>199</v>
      </c>
      <c r="Z41" s="42" t="s">
        <v>115</v>
      </c>
      <c r="AA41" s="42" t="s">
        <v>328</v>
      </c>
      <c r="AB41" s="27">
        <v>3.75</v>
      </c>
    </row>
    <row r="42" spans="1:28" x14ac:dyDescent="0.25">
      <c r="A42" s="64"/>
      <c r="B42" s="42"/>
      <c r="C42" s="42"/>
      <c r="D42" s="27">
        <v>81.075694444444451</v>
      </c>
      <c r="E42" s="23" t="s">
        <v>297</v>
      </c>
      <c r="F42" s="25" t="s">
        <v>297</v>
      </c>
      <c r="G42" s="42" t="s">
        <v>28</v>
      </c>
      <c r="H42" s="42" t="s">
        <v>29</v>
      </c>
      <c r="I42" s="27">
        <f>_xlfn.XLOOKUP(G42,'Item Usage'!$B$59:$B$65,'Item Usage'!$D$59:$D$65,"---",0,1)</f>
        <v>83.773611111111123</v>
      </c>
      <c r="J42" s="23" t="str">
        <f>_xlfn.XLOOKUP(G42,'Item Usage'!$B$70:$B$100,'Item Usage'!$D$70:$D$100,"---",0,1)</f>
        <v>---</v>
      </c>
      <c r="K42" s="42" t="s">
        <v>492</v>
      </c>
      <c r="L42" s="27" cm="1">
        <f t="array" ref="L42">IF(D42="---","---", SumHH((D42,O42,R42), I42))</f>
        <v>1.46875</v>
      </c>
      <c r="M42" s="23" t="str">
        <f>IF($E42="---","---",($E42+$O42+$R42)-$J42)</f>
        <v>---</v>
      </c>
      <c r="N42" s="69" t="str">
        <f>IF($F42="---","---",($F42+$O42+$R42))</f>
        <v>---</v>
      </c>
      <c r="O42" s="27">
        <v>0</v>
      </c>
      <c r="P42" s="42"/>
      <c r="Q42" s="42" t="s">
        <v>101</v>
      </c>
      <c r="R42" s="27">
        <v>4.166666666666667</v>
      </c>
      <c r="S42" s="63" t="s">
        <v>196</v>
      </c>
      <c r="T42" s="42">
        <v>0</v>
      </c>
      <c r="U42" s="63"/>
      <c r="V42" s="63" t="s">
        <v>197</v>
      </c>
      <c r="W42" s="42" t="s">
        <v>552</v>
      </c>
      <c r="X42" s="63" t="s">
        <v>198</v>
      </c>
      <c r="Y42" s="58" t="s">
        <v>199</v>
      </c>
      <c r="Z42" s="42" t="s">
        <v>115</v>
      </c>
      <c r="AA42" s="42" t="s">
        <v>328</v>
      </c>
      <c r="AB42" s="27">
        <v>3.75</v>
      </c>
    </row>
    <row r="43" spans="1:28" x14ac:dyDescent="0.25">
      <c r="A43" s="64"/>
      <c r="B43" s="42"/>
      <c r="C43" s="42"/>
      <c r="D43" s="27">
        <v>81.075694444444451</v>
      </c>
      <c r="E43" s="23" t="s">
        <v>297</v>
      </c>
      <c r="F43" s="25" t="s">
        <v>297</v>
      </c>
      <c r="G43" s="42" t="s">
        <v>28</v>
      </c>
      <c r="H43" s="42" t="s">
        <v>29</v>
      </c>
      <c r="I43" s="27">
        <f>_xlfn.XLOOKUP(G43,'Item Usage'!$B$59:$B$65,'Item Usage'!$D$59:$D$65,"---",0,1)</f>
        <v>83.773611111111123</v>
      </c>
      <c r="J43" s="23" t="str">
        <f>_xlfn.XLOOKUP(G43,'Item Usage'!$B$70:$B$100,'Item Usage'!$D$70:$D$100,"---",0,1)</f>
        <v>---</v>
      </c>
      <c r="K43" s="42" t="s">
        <v>492</v>
      </c>
      <c r="L43" s="27" cm="1">
        <f t="array" ref="L43">IF(D43="---","---", SumHH((D43,O43,R43), I43))</f>
        <v>1.46875</v>
      </c>
      <c r="M43" s="23" t="str">
        <f>IF($E43="---","---",($E43+$O43+$R43)-$J43)</f>
        <v>---</v>
      </c>
      <c r="N43" s="69" t="str">
        <f>IF($F43="---","---",($F43+$O43+$R43))</f>
        <v>---</v>
      </c>
      <c r="O43" s="27">
        <v>0</v>
      </c>
      <c r="P43" s="42"/>
      <c r="Q43" s="42" t="s">
        <v>101</v>
      </c>
      <c r="R43" s="27">
        <v>4.166666666666667</v>
      </c>
      <c r="S43" s="63" t="s">
        <v>196</v>
      </c>
      <c r="T43" s="42">
        <v>0</v>
      </c>
      <c r="U43" s="63"/>
      <c r="V43" s="63" t="s">
        <v>197</v>
      </c>
      <c r="W43" s="42" t="s">
        <v>553</v>
      </c>
      <c r="X43" s="63" t="s">
        <v>198</v>
      </c>
      <c r="Y43" s="58" t="s">
        <v>199</v>
      </c>
      <c r="Z43" s="42" t="s">
        <v>115</v>
      </c>
      <c r="AA43" s="42" t="s">
        <v>328</v>
      </c>
      <c r="AB43" s="27">
        <v>3.75</v>
      </c>
    </row>
    <row r="44" spans="1:28" x14ac:dyDescent="0.25">
      <c r="A44" s="64"/>
      <c r="B44" s="42"/>
      <c r="C44" s="42"/>
      <c r="D44" s="27">
        <v>68.637500000000003</v>
      </c>
      <c r="E44" s="23" t="s">
        <v>297</v>
      </c>
      <c r="F44" s="25" t="s">
        <v>297</v>
      </c>
      <c r="G44" s="42" t="s">
        <v>28</v>
      </c>
      <c r="H44" s="42" t="s">
        <v>29</v>
      </c>
      <c r="I44" s="27">
        <f>_xlfn.XLOOKUP(G44,'Item Usage'!$B$59:$B$65,'Item Usage'!$D$59:$D$65,"---",0,1)</f>
        <v>83.773611111111123</v>
      </c>
      <c r="J44" s="23" t="str">
        <f>_xlfn.XLOOKUP(G44,'Item Usage'!$B$70:$B$100,'Item Usage'!$D$70:$D$100,"---",0,1)</f>
        <v>---</v>
      </c>
      <c r="K44" s="42" t="s">
        <v>492</v>
      </c>
      <c r="L44" s="27" cm="1">
        <f t="array" ref="L44">IF(D44="---","---", SumHH((D44,O44,R44), I44))</f>
        <v>1.5305555555555455</v>
      </c>
      <c r="M44" s="23" t="str">
        <f>IF($E44="---","---",($E44+$O44+$R44)-$J44)</f>
        <v>---</v>
      </c>
      <c r="N44" s="69" t="str">
        <f>IF($F44="---","---",($F44+$O44+$R44))</f>
        <v>---</v>
      </c>
      <c r="O44" s="27">
        <v>0</v>
      </c>
      <c r="P44" s="42"/>
      <c r="Q44" s="42" t="s">
        <v>101</v>
      </c>
      <c r="R44" s="27">
        <v>16.666666666666668</v>
      </c>
      <c r="S44" s="63" t="s">
        <v>163</v>
      </c>
      <c r="T44" s="42">
        <v>0</v>
      </c>
      <c r="U44" s="63"/>
      <c r="V44" s="63" t="s">
        <v>164</v>
      </c>
      <c r="W44" s="42" t="s">
        <v>492</v>
      </c>
      <c r="X44" s="63" t="s">
        <v>113</v>
      </c>
      <c r="Y44" s="58">
        <v>6720001</v>
      </c>
      <c r="Z44" s="42" t="s">
        <v>115</v>
      </c>
      <c r="AA44" s="42" t="s">
        <v>327</v>
      </c>
      <c r="AB44" s="27">
        <v>15.416666666666666</v>
      </c>
    </row>
    <row r="45" spans="1:28" x14ac:dyDescent="0.25">
      <c r="A45" s="64"/>
      <c r="B45" s="42"/>
      <c r="C45" s="42"/>
      <c r="D45" s="27">
        <v>79.222222222222229</v>
      </c>
      <c r="E45" s="23" t="s">
        <v>297</v>
      </c>
      <c r="F45" s="25" t="s">
        <v>297</v>
      </c>
      <c r="G45" s="42" t="s">
        <v>28</v>
      </c>
      <c r="H45" s="42" t="s">
        <v>29</v>
      </c>
      <c r="I45" s="27">
        <f>_xlfn.XLOOKUP(G45,'Item Usage'!$B$59:$B$65,'Item Usage'!$D$59:$D$65,"---",0,1)</f>
        <v>83.773611111111123</v>
      </c>
      <c r="J45" s="23" t="str">
        <f>_xlfn.XLOOKUP(G45,'Item Usage'!$B$70:$B$100,'Item Usage'!$D$70:$D$100,"---",0,1)</f>
        <v>---</v>
      </c>
      <c r="K45" s="42" t="s">
        <v>492</v>
      </c>
      <c r="L45" s="27" cm="1">
        <f t="array" ref="L45">IF(D45="---","---", SumHH((D45,O45,R45), I45))</f>
        <v>1.6986111111111111</v>
      </c>
      <c r="M45" s="23" t="str">
        <f>IF($E45="---","---",($E45+$O45+$R45)-$J45)</f>
        <v>---</v>
      </c>
      <c r="N45" s="69" t="str">
        <f>IF($F45="---","---",($F45+$O45+$R45))</f>
        <v>---</v>
      </c>
      <c r="O45" s="27">
        <v>0</v>
      </c>
      <c r="P45" s="42"/>
      <c r="Q45" s="42" t="s">
        <v>101</v>
      </c>
      <c r="R45" s="27">
        <v>6.25</v>
      </c>
      <c r="S45" s="63" t="s">
        <v>232</v>
      </c>
      <c r="T45" s="42">
        <v>0</v>
      </c>
      <c r="U45" s="63"/>
      <c r="V45" s="63" t="s">
        <v>233</v>
      </c>
      <c r="W45" s="42" t="s">
        <v>519</v>
      </c>
      <c r="X45" s="63" t="s">
        <v>141</v>
      </c>
      <c r="Y45" s="58">
        <v>6322001</v>
      </c>
      <c r="Z45" s="42" t="s">
        <v>115</v>
      </c>
      <c r="AA45" s="42" t="s">
        <v>328</v>
      </c>
      <c r="AB45" s="27">
        <v>5.625</v>
      </c>
    </row>
    <row r="46" spans="1:28" x14ac:dyDescent="0.25">
      <c r="A46" s="64"/>
      <c r="B46" s="42"/>
      <c r="C46" s="42"/>
      <c r="D46" s="27">
        <v>81.540277777777774</v>
      </c>
      <c r="E46" s="23" t="s">
        <v>297</v>
      </c>
      <c r="F46" s="25" t="s">
        <v>297</v>
      </c>
      <c r="G46" s="42" t="s">
        <v>28</v>
      </c>
      <c r="H46" s="42" t="s">
        <v>29</v>
      </c>
      <c r="I46" s="27">
        <f>_xlfn.XLOOKUP(G46,'Item Usage'!$B$59:$B$65,'Item Usage'!$D$59:$D$65,"---",0,1)</f>
        <v>83.773611111111123</v>
      </c>
      <c r="J46" s="23" t="str">
        <f>_xlfn.XLOOKUP(G46,'Item Usage'!$B$70:$B$100,'Item Usage'!$D$70:$D$100,"---",0,1)</f>
        <v>---</v>
      </c>
      <c r="K46" s="42" t="s">
        <v>492</v>
      </c>
      <c r="L46" s="27" cm="1">
        <f t="array" ref="L46">IF(D46="---","---", SumHH((D46,O46,R46), I46))</f>
        <v>1.9333333333333231</v>
      </c>
      <c r="M46" s="23" t="str">
        <f>IF($E46="---","---",($E46+$O46+$R46)-$J46)</f>
        <v>---</v>
      </c>
      <c r="N46" s="69" t="str">
        <f>IF($F46="---","---",($F46+$O46+$R46))</f>
        <v>---</v>
      </c>
      <c r="O46" s="27">
        <v>0</v>
      </c>
      <c r="P46" s="42"/>
      <c r="Q46" s="42" t="s">
        <v>101</v>
      </c>
      <c r="R46" s="27">
        <v>4.166666666666667</v>
      </c>
      <c r="S46" s="63" t="s">
        <v>400</v>
      </c>
      <c r="T46" s="42">
        <v>0</v>
      </c>
      <c r="U46" s="63"/>
      <c r="V46" s="63" t="s">
        <v>242</v>
      </c>
      <c r="W46" s="42" t="s">
        <v>492</v>
      </c>
      <c r="X46" s="63" t="s">
        <v>113</v>
      </c>
      <c r="Y46" s="58">
        <v>6210004</v>
      </c>
      <c r="Z46" s="42" t="s">
        <v>115</v>
      </c>
      <c r="AA46" s="42" t="s">
        <v>327</v>
      </c>
      <c r="AB46" s="27">
        <v>3.75</v>
      </c>
    </row>
    <row r="47" spans="1:28" x14ac:dyDescent="0.25">
      <c r="A47" s="64" t="b">
        <v>0</v>
      </c>
      <c r="B47" s="42"/>
      <c r="C47" s="42" t="s">
        <v>771</v>
      </c>
      <c r="D47" s="27">
        <v>83.65</v>
      </c>
      <c r="E47" s="23" t="s">
        <v>297</v>
      </c>
      <c r="F47" s="25" t="s">
        <v>297</v>
      </c>
      <c r="G47" s="42" t="s">
        <v>28</v>
      </c>
      <c r="H47" s="42" t="s">
        <v>29</v>
      </c>
      <c r="I47" s="27">
        <f>_xlfn.XLOOKUP(G47,'Item Usage'!$B$59:$B$65,'Item Usage'!$D$59:$D$65,"---",0,1)</f>
        <v>83.773611111111123</v>
      </c>
      <c r="J47" s="23" t="str">
        <f>_xlfn.XLOOKUP(G47,'Item Usage'!$B$70:$B$100,'Item Usage'!$D$70:$D$100,"---",0,1)</f>
        <v>---</v>
      </c>
      <c r="K47" s="42" t="s">
        <v>492</v>
      </c>
      <c r="L47" s="27" cm="1">
        <f t="array" ref="L47">IF(D47="---","---", SumHH((D47,O47,R47), I47))</f>
        <v>1.9597222222222221</v>
      </c>
      <c r="M47" s="23" t="str">
        <f>IF($E47="---","---",($E47+$O47+$R47)-$J47)</f>
        <v>---</v>
      </c>
      <c r="N47" s="69" t="str">
        <f>IF($F47="---","---",($F47+$O47+$R47))</f>
        <v>---</v>
      </c>
      <c r="O47" s="27">
        <v>0</v>
      </c>
      <c r="P47" s="42"/>
      <c r="Q47" s="42" t="s">
        <v>117</v>
      </c>
      <c r="R47" s="27">
        <v>2.0833333333333335</v>
      </c>
      <c r="S47" s="63" t="s">
        <v>119</v>
      </c>
      <c r="T47" s="42">
        <v>1</v>
      </c>
      <c r="U47" s="63" t="s">
        <v>524</v>
      </c>
      <c r="V47" s="63" t="s">
        <v>385</v>
      </c>
      <c r="W47" s="42" t="s">
        <v>492</v>
      </c>
      <c r="X47" s="63" t="s">
        <v>113</v>
      </c>
      <c r="Y47" s="58" t="s">
        <v>119</v>
      </c>
      <c r="Z47" s="42" t="s">
        <v>115</v>
      </c>
      <c r="AA47" s="42" t="s">
        <v>327</v>
      </c>
      <c r="AB47" s="27">
        <v>1.875</v>
      </c>
    </row>
    <row r="48" spans="1:28" x14ac:dyDescent="0.25">
      <c r="A48" s="64" t="b">
        <v>0</v>
      </c>
      <c r="B48" s="42"/>
      <c r="C48" s="42" t="s">
        <v>771</v>
      </c>
      <c r="D48" s="27">
        <v>83.65</v>
      </c>
      <c r="E48" s="23" t="s">
        <v>297</v>
      </c>
      <c r="F48" s="25" t="s">
        <v>297</v>
      </c>
      <c r="G48" s="42" t="s">
        <v>28</v>
      </c>
      <c r="H48" s="42" t="s">
        <v>29</v>
      </c>
      <c r="I48" s="27">
        <f>_xlfn.XLOOKUP(G48,'Item Usage'!$B$59:$B$65,'Item Usage'!$D$59:$D$65,"---",0,1)</f>
        <v>83.773611111111123</v>
      </c>
      <c r="J48" s="23" t="str">
        <f>_xlfn.XLOOKUP(G48,'Item Usage'!$B$70:$B$100,'Item Usage'!$D$70:$D$100,"---",0,1)</f>
        <v>---</v>
      </c>
      <c r="K48" s="42" t="s">
        <v>492</v>
      </c>
      <c r="L48" s="27" cm="1">
        <f t="array" ref="L48">IF(D48="---","---", SumHH((D48,O48,R48), I48))</f>
        <v>1.9597222222222221</v>
      </c>
      <c r="M48" s="23" t="str">
        <f>IF($E48="---","---",($E48+$O48+$R48)-$J48)</f>
        <v>---</v>
      </c>
      <c r="N48" s="69" t="str">
        <f>IF($F48="---","---",($F48+$O48+$R48))</f>
        <v>---</v>
      </c>
      <c r="O48" s="27">
        <v>0</v>
      </c>
      <c r="P48" s="42"/>
      <c r="Q48" s="42" t="s">
        <v>117</v>
      </c>
      <c r="R48" s="27">
        <v>2.0833333333333335</v>
      </c>
      <c r="S48" s="63" t="s">
        <v>119</v>
      </c>
      <c r="T48" s="42">
        <v>3</v>
      </c>
      <c r="U48" s="63" t="s">
        <v>527</v>
      </c>
      <c r="V48" s="63" t="s">
        <v>385</v>
      </c>
      <c r="W48" s="42" t="s">
        <v>492</v>
      </c>
      <c r="X48" s="63" t="s">
        <v>113</v>
      </c>
      <c r="Y48" s="58" t="s">
        <v>119</v>
      </c>
      <c r="Z48" s="42" t="s">
        <v>115</v>
      </c>
      <c r="AA48" s="42" t="s">
        <v>327</v>
      </c>
      <c r="AB48" s="27">
        <v>1.875</v>
      </c>
    </row>
    <row r="49" spans="1:28" x14ac:dyDescent="0.25">
      <c r="A49" s="64"/>
      <c r="B49" s="42"/>
      <c r="C49" s="42"/>
      <c r="D49" s="27">
        <v>73.439583333333331</v>
      </c>
      <c r="E49" s="23" t="s">
        <v>297</v>
      </c>
      <c r="F49" s="25" t="s">
        <v>297</v>
      </c>
      <c r="G49" s="42" t="s">
        <v>28</v>
      </c>
      <c r="H49" s="42" t="s">
        <v>29</v>
      </c>
      <c r="I49" s="27">
        <f>_xlfn.XLOOKUP(G49,'Item Usage'!$B$59:$B$65,'Item Usage'!$D$59:$D$65,"---",0,1)</f>
        <v>83.773611111111123</v>
      </c>
      <c r="J49" s="23" t="str">
        <f>_xlfn.XLOOKUP(G49,'Item Usage'!$B$70:$B$100,'Item Usage'!$D$70:$D$100,"---",0,1)</f>
        <v>---</v>
      </c>
      <c r="K49" s="42" t="s">
        <v>492</v>
      </c>
      <c r="L49" s="27" cm="1">
        <f t="array" ref="L49">IF(D49="---","---", SumHH((D49,O49,R49), I49))</f>
        <v>2.1659722222222122</v>
      </c>
      <c r="M49" s="23" t="str">
        <f>IF($E49="---","---",($E49+$O49+$R49)-$J49)</f>
        <v>---</v>
      </c>
      <c r="N49" s="69" t="str">
        <f>IF($F49="---","---",($F49+$O49+$R49))</f>
        <v>---</v>
      </c>
      <c r="O49" s="27">
        <v>0</v>
      </c>
      <c r="P49" s="42"/>
      <c r="Q49" s="42" t="s">
        <v>101</v>
      </c>
      <c r="R49" s="27">
        <v>12.5</v>
      </c>
      <c r="S49" s="63" t="s">
        <v>557</v>
      </c>
      <c r="T49" s="42">
        <v>0</v>
      </c>
      <c r="U49" s="63"/>
      <c r="V49" s="63" t="s">
        <v>558</v>
      </c>
      <c r="W49" s="42">
        <v>3155319</v>
      </c>
      <c r="X49" s="63" t="s">
        <v>561</v>
      </c>
      <c r="Y49" s="58" t="s">
        <v>560</v>
      </c>
      <c r="Z49" s="42">
        <v>54786</v>
      </c>
      <c r="AA49" s="42" t="s">
        <v>328</v>
      </c>
      <c r="AB49" s="27">
        <v>11.25</v>
      </c>
    </row>
    <row r="50" spans="1:28" x14ac:dyDescent="0.25">
      <c r="A50" s="64"/>
      <c r="B50" s="42"/>
      <c r="C50" s="42"/>
      <c r="D50" s="27">
        <v>73.439583333333331</v>
      </c>
      <c r="E50" s="23" t="s">
        <v>297</v>
      </c>
      <c r="F50" s="25" t="s">
        <v>297</v>
      </c>
      <c r="G50" s="42" t="s">
        <v>28</v>
      </c>
      <c r="H50" s="42" t="s">
        <v>29</v>
      </c>
      <c r="I50" s="27">
        <f>_xlfn.XLOOKUP(G50,'Item Usage'!$B$59:$B$65,'Item Usage'!$D$59:$D$65,"---",0,1)</f>
        <v>83.773611111111123</v>
      </c>
      <c r="J50" s="23" t="str">
        <f>_xlfn.XLOOKUP(G50,'Item Usage'!$B$70:$B$100,'Item Usage'!$D$70:$D$100,"---",0,1)</f>
        <v>---</v>
      </c>
      <c r="K50" s="42" t="s">
        <v>492</v>
      </c>
      <c r="L50" s="27" cm="1">
        <f t="array" ref="L50">IF(D50="---","---", SumHH((D50,O50,R50), I50))</f>
        <v>2.1659722222222122</v>
      </c>
      <c r="M50" s="23" t="str">
        <f>IF($E50="---","---",($E50+$O50+$R50)-$J50)</f>
        <v>---</v>
      </c>
      <c r="N50" s="69" t="str">
        <f>IF($F50="---","---",($F50+$O50+$R50))</f>
        <v>---</v>
      </c>
      <c r="O50" s="27">
        <v>0</v>
      </c>
      <c r="P50" s="42"/>
      <c r="Q50" s="42" t="s">
        <v>101</v>
      </c>
      <c r="R50" s="27">
        <v>12.5</v>
      </c>
      <c r="S50" s="63" t="s">
        <v>564</v>
      </c>
      <c r="T50" s="42">
        <v>0</v>
      </c>
      <c r="U50" s="63"/>
      <c r="V50" s="63" t="s">
        <v>565</v>
      </c>
      <c r="W50" s="42">
        <v>2004886</v>
      </c>
      <c r="X50" s="63" t="s">
        <v>567</v>
      </c>
      <c r="Y50" s="58" t="s">
        <v>560</v>
      </c>
      <c r="Z50" s="42">
        <v>54786</v>
      </c>
      <c r="AA50" s="42" t="s">
        <v>328</v>
      </c>
      <c r="AB50" s="27">
        <v>11.25</v>
      </c>
    </row>
    <row r="51" spans="1:28" x14ac:dyDescent="0.25">
      <c r="A51" s="64"/>
      <c r="B51" s="42"/>
      <c r="C51" s="42"/>
      <c r="D51" s="27">
        <v>81.889583333333334</v>
      </c>
      <c r="E51" s="23" t="s">
        <v>297</v>
      </c>
      <c r="F51" s="25" t="s">
        <v>297</v>
      </c>
      <c r="G51" s="42" t="s">
        <v>28</v>
      </c>
      <c r="H51" s="42" t="s">
        <v>29</v>
      </c>
      <c r="I51" s="27">
        <f>_xlfn.XLOOKUP(G51,'Item Usage'!$B$59:$B$65,'Item Usage'!$D$59:$D$65,"---",0,1)</f>
        <v>83.773611111111123</v>
      </c>
      <c r="J51" s="23" t="str">
        <f>_xlfn.XLOOKUP(G51,'Item Usage'!$B$70:$B$100,'Item Usage'!$D$70:$D$100,"---",0,1)</f>
        <v>---</v>
      </c>
      <c r="K51" s="42" t="s">
        <v>492</v>
      </c>
      <c r="L51" s="27" cm="1">
        <f t="array" ref="L51">IF(D51="---","---", SumHH((D51,O51,R51), I51))</f>
        <v>2.2826388888888789</v>
      </c>
      <c r="M51" s="23" t="str">
        <f>IF($E51="---","---",($E51+$O51+$R51)-$J51)</f>
        <v>---</v>
      </c>
      <c r="N51" s="69" t="str">
        <f>IF($F51="---","---",($F51+$O51+$R51))</f>
        <v>---</v>
      </c>
      <c r="O51" s="27">
        <v>0</v>
      </c>
      <c r="P51" s="42"/>
      <c r="Q51" s="42" t="s">
        <v>101</v>
      </c>
      <c r="R51" s="27">
        <v>4.166666666666667</v>
      </c>
      <c r="S51" s="63" t="s">
        <v>399</v>
      </c>
      <c r="T51" s="42">
        <v>0</v>
      </c>
      <c r="U51" s="63"/>
      <c r="V51" s="63" t="s">
        <v>240</v>
      </c>
      <c r="W51" s="42" t="s">
        <v>492</v>
      </c>
      <c r="X51" s="63" t="s">
        <v>113</v>
      </c>
      <c r="Y51" s="58">
        <v>3040004</v>
      </c>
      <c r="Z51" s="42" t="s">
        <v>115</v>
      </c>
      <c r="AA51" s="42" t="s">
        <v>327</v>
      </c>
      <c r="AB51" s="27">
        <v>3.75</v>
      </c>
    </row>
    <row r="52" spans="1:28" x14ac:dyDescent="0.25">
      <c r="A52" s="64"/>
      <c r="B52" s="42"/>
      <c r="C52" s="42"/>
      <c r="D52" s="27">
        <v>74.040277777777774</v>
      </c>
      <c r="E52" s="23" t="s">
        <v>297</v>
      </c>
      <c r="F52" s="25" t="s">
        <v>297</v>
      </c>
      <c r="G52" s="42" t="s">
        <v>28</v>
      </c>
      <c r="H52" s="42" t="s">
        <v>29</v>
      </c>
      <c r="I52" s="27">
        <f>_xlfn.XLOOKUP(G52,'Item Usage'!$B$59:$B$65,'Item Usage'!$D$59:$D$65,"---",0,1)</f>
        <v>83.773611111111123</v>
      </c>
      <c r="J52" s="23" t="str">
        <f>_xlfn.XLOOKUP(G52,'Item Usage'!$B$70:$B$100,'Item Usage'!$D$70:$D$100,"---",0,1)</f>
        <v>---</v>
      </c>
      <c r="K52" s="42" t="s">
        <v>492</v>
      </c>
      <c r="L52" s="27" cm="1">
        <f t="array" ref="L52">IF(D52="---","---", SumHH((D52,O52,R52), I52))</f>
        <v>2.7666666666666564</v>
      </c>
      <c r="M52" s="23" t="str">
        <f>IF($E52="---","---",($E52+$O52+$R52)-$J52)</f>
        <v>---</v>
      </c>
      <c r="N52" s="69" t="str">
        <f>IF($F52="---","---",($F52+$O52+$R52))</f>
        <v>---</v>
      </c>
      <c r="O52" s="27">
        <v>0</v>
      </c>
      <c r="P52" s="42"/>
      <c r="Q52" s="42" t="s">
        <v>101</v>
      </c>
      <c r="R52" s="27">
        <v>12.5</v>
      </c>
      <c r="S52" s="63" t="s">
        <v>557</v>
      </c>
      <c r="T52" s="42">
        <v>0</v>
      </c>
      <c r="U52" s="63"/>
      <c r="V52" s="63" t="s">
        <v>558</v>
      </c>
      <c r="W52" s="42">
        <v>3764509</v>
      </c>
      <c r="X52" s="63" t="s">
        <v>561</v>
      </c>
      <c r="Y52" s="58" t="s">
        <v>560</v>
      </c>
      <c r="Z52" s="42">
        <v>54786</v>
      </c>
      <c r="AA52" s="42" t="s">
        <v>328</v>
      </c>
      <c r="AB52" s="27">
        <v>11.25</v>
      </c>
    </row>
    <row r="53" spans="1:28" x14ac:dyDescent="0.25">
      <c r="A53" s="64"/>
      <c r="B53" s="42"/>
      <c r="C53" s="42"/>
      <c r="D53" s="27">
        <v>74.040277777777774</v>
      </c>
      <c r="E53" s="23" t="s">
        <v>297</v>
      </c>
      <c r="F53" s="25" t="s">
        <v>297</v>
      </c>
      <c r="G53" s="42" t="s">
        <v>28</v>
      </c>
      <c r="H53" s="42" t="s">
        <v>29</v>
      </c>
      <c r="I53" s="27">
        <f>_xlfn.XLOOKUP(G53,'Item Usage'!$B$59:$B$65,'Item Usage'!$D$59:$D$65,"---",0,1)</f>
        <v>83.773611111111123</v>
      </c>
      <c r="J53" s="23" t="str">
        <f>_xlfn.XLOOKUP(G53,'Item Usage'!$B$70:$B$100,'Item Usage'!$D$70:$D$100,"---",0,1)</f>
        <v>---</v>
      </c>
      <c r="K53" s="42" t="s">
        <v>492</v>
      </c>
      <c r="L53" s="27" cm="1">
        <f t="array" ref="L53">IF(D53="---","---", SumHH((D53,O53,R53), I53))</f>
        <v>2.7666666666666564</v>
      </c>
      <c r="M53" s="23" t="str">
        <f>IF($E53="---","---",($E53+$O53+$R53)-$J53)</f>
        <v>---</v>
      </c>
      <c r="N53" s="69" t="str">
        <f>IF($F53="---","---",($F53+$O53+$R53))</f>
        <v>---</v>
      </c>
      <c r="O53" s="27">
        <v>0</v>
      </c>
      <c r="P53" s="42"/>
      <c r="Q53" s="42" t="s">
        <v>101</v>
      </c>
      <c r="R53" s="27">
        <v>12.5</v>
      </c>
      <c r="S53" s="63" t="s">
        <v>564</v>
      </c>
      <c r="T53" s="42">
        <v>0</v>
      </c>
      <c r="U53" s="63"/>
      <c r="V53" s="63" t="s">
        <v>565</v>
      </c>
      <c r="W53" s="42">
        <v>1500224</v>
      </c>
      <c r="X53" s="63" t="s">
        <v>567</v>
      </c>
      <c r="Y53" s="58" t="s">
        <v>560</v>
      </c>
      <c r="Z53" s="42">
        <v>54786</v>
      </c>
      <c r="AA53" s="42" t="s">
        <v>328</v>
      </c>
      <c r="AB53" s="27">
        <v>11.25</v>
      </c>
    </row>
    <row r="54" spans="1:28" x14ac:dyDescent="0.25">
      <c r="A54" s="64"/>
      <c r="B54" s="42"/>
      <c r="C54" s="42"/>
      <c r="D54" s="27">
        <v>78.617361111111109</v>
      </c>
      <c r="E54" s="23" t="s">
        <v>297</v>
      </c>
      <c r="F54" s="25" t="s">
        <v>297</v>
      </c>
      <c r="G54" s="42" t="s">
        <v>28</v>
      </c>
      <c r="H54" s="42" t="s">
        <v>29</v>
      </c>
      <c r="I54" s="27">
        <f>_xlfn.XLOOKUP(G54,'Item Usage'!$B$59:$B$65,'Item Usage'!$D$59:$D$65,"---",0,1)</f>
        <v>83.773611111111123</v>
      </c>
      <c r="J54" s="23" t="str">
        <f>_xlfn.XLOOKUP(G54,'Item Usage'!$B$70:$B$100,'Item Usage'!$D$70:$D$100,"---",0,1)</f>
        <v>---</v>
      </c>
      <c r="K54" s="42" t="s">
        <v>492</v>
      </c>
      <c r="L54" s="27" cm="1">
        <f t="array" ref="L54">IF(D54="---","---", SumHH((D54,O54,R54), I54))</f>
        <v>3.1770833333333233</v>
      </c>
      <c r="M54" s="23" t="str">
        <f>IF($E54="---","---",($E54+$O54+$R54)-$J54)</f>
        <v>---</v>
      </c>
      <c r="N54" s="69" t="str">
        <f>IF($F54="---","---",($F54+$O54+$R54))</f>
        <v>---</v>
      </c>
      <c r="O54" s="27">
        <v>0</v>
      </c>
      <c r="P54" s="42"/>
      <c r="Q54" s="42" t="s">
        <v>101</v>
      </c>
      <c r="R54" s="27">
        <v>8.3333333333333339</v>
      </c>
      <c r="S54" s="63" t="s">
        <v>572</v>
      </c>
      <c r="T54" s="42">
        <v>0</v>
      </c>
      <c r="U54" s="63"/>
      <c r="V54" s="63" t="s">
        <v>573</v>
      </c>
      <c r="W54" s="42" t="s">
        <v>543</v>
      </c>
      <c r="X54" s="63" t="s">
        <v>205</v>
      </c>
      <c r="Y54" s="58">
        <v>6220006</v>
      </c>
      <c r="Z54" s="42" t="s">
        <v>115</v>
      </c>
      <c r="AA54" s="42" t="s">
        <v>328</v>
      </c>
      <c r="AB54" s="27">
        <v>7.5</v>
      </c>
    </row>
    <row r="55" spans="1:28" x14ac:dyDescent="0.25">
      <c r="A55" s="64"/>
      <c r="B55" s="42"/>
      <c r="C55" s="42"/>
      <c r="D55" s="27">
        <v>80.915972222222223</v>
      </c>
      <c r="E55" s="23" t="s">
        <v>297</v>
      </c>
      <c r="F55" s="25" t="s">
        <v>297</v>
      </c>
      <c r="G55" s="42" t="s">
        <v>28</v>
      </c>
      <c r="H55" s="42" t="s">
        <v>29</v>
      </c>
      <c r="I55" s="27">
        <f>_xlfn.XLOOKUP(G55,'Item Usage'!$B$59:$B$65,'Item Usage'!$D$59:$D$65,"---",0,1)</f>
        <v>83.773611111111123</v>
      </c>
      <c r="J55" s="23" t="str">
        <f>_xlfn.XLOOKUP(G55,'Item Usage'!$B$70:$B$100,'Item Usage'!$D$70:$D$100,"---",0,1)</f>
        <v>---</v>
      </c>
      <c r="K55" s="42" t="s">
        <v>492</v>
      </c>
      <c r="L55" s="27" cm="1">
        <f t="array" ref="L55">IF(D55="---","---", SumHH((D55,O55,R55), I55))</f>
        <v>3.3923611111111009</v>
      </c>
      <c r="M55" s="23" t="str">
        <f>IF($E55="---","---",($E55+$O55+$R55)-$J55)</f>
        <v>---</v>
      </c>
      <c r="N55" s="69" t="str">
        <f>IF($F55="---","---",($F55+$O55+$R55))</f>
        <v>---</v>
      </c>
      <c r="O55" s="27">
        <v>0</v>
      </c>
      <c r="P55" s="42"/>
      <c r="Q55" s="42" t="s">
        <v>101</v>
      </c>
      <c r="R55" s="27">
        <v>6.25</v>
      </c>
      <c r="S55" s="63" t="s">
        <v>414</v>
      </c>
      <c r="T55" s="42">
        <v>0</v>
      </c>
      <c r="U55" s="63"/>
      <c r="V55" s="63" t="s">
        <v>415</v>
      </c>
      <c r="W55" s="42" t="s">
        <v>576</v>
      </c>
      <c r="X55" s="63" t="s">
        <v>577</v>
      </c>
      <c r="Y55" s="58">
        <v>6222002</v>
      </c>
      <c r="Z55" s="42" t="s">
        <v>115</v>
      </c>
      <c r="AA55" s="42" t="s">
        <v>328</v>
      </c>
      <c r="AB55" s="27">
        <v>5.625</v>
      </c>
    </row>
    <row r="56" spans="1:28" x14ac:dyDescent="0.25">
      <c r="A56" s="64"/>
      <c r="B56" s="42"/>
      <c r="C56" s="42"/>
      <c r="D56" s="27">
        <v>80.915972222222223</v>
      </c>
      <c r="E56" s="23" t="s">
        <v>297</v>
      </c>
      <c r="F56" s="25" t="s">
        <v>297</v>
      </c>
      <c r="G56" s="42" t="s">
        <v>28</v>
      </c>
      <c r="H56" s="42" t="s">
        <v>29</v>
      </c>
      <c r="I56" s="27">
        <f>_xlfn.XLOOKUP(G56,'Item Usage'!$B$59:$B$65,'Item Usage'!$D$59:$D$65,"---",0,1)</f>
        <v>83.773611111111123</v>
      </c>
      <c r="J56" s="23" t="str">
        <f>_xlfn.XLOOKUP(G56,'Item Usage'!$B$70:$B$100,'Item Usage'!$D$70:$D$100,"---",0,1)</f>
        <v>---</v>
      </c>
      <c r="K56" s="42" t="s">
        <v>492</v>
      </c>
      <c r="L56" s="27" cm="1">
        <f t="array" ref="L56">IF(D56="---","---", SumHH((D56,O56,R56), I56))</f>
        <v>3.3923611111111009</v>
      </c>
      <c r="M56" s="23" t="str">
        <f>IF($E56="---","---",($E56+$O56+$R56)-$J56)</f>
        <v>---</v>
      </c>
      <c r="N56" s="69" t="str">
        <f>IF($F56="---","---",($F56+$O56+$R56))</f>
        <v>---</v>
      </c>
      <c r="O56" s="27">
        <v>0</v>
      </c>
      <c r="P56" s="42"/>
      <c r="Q56" s="42" t="s">
        <v>101</v>
      </c>
      <c r="R56" s="27">
        <v>6.25</v>
      </c>
      <c r="S56" s="63" t="s">
        <v>223</v>
      </c>
      <c r="T56" s="42">
        <v>0</v>
      </c>
      <c r="U56" s="63"/>
      <c r="V56" s="63" t="s">
        <v>224</v>
      </c>
      <c r="W56" s="42" t="s">
        <v>492</v>
      </c>
      <c r="X56" s="63" t="s">
        <v>113</v>
      </c>
      <c r="Y56" s="58">
        <v>5210005</v>
      </c>
      <c r="Z56" s="42" t="s">
        <v>115</v>
      </c>
      <c r="AA56" s="42" t="s">
        <v>327</v>
      </c>
      <c r="AB56" s="27">
        <v>5.625</v>
      </c>
    </row>
    <row r="57" spans="1:28" x14ac:dyDescent="0.25">
      <c r="A57" s="64"/>
      <c r="B57" s="42"/>
      <c r="C57" s="42"/>
      <c r="D57" s="27">
        <v>80.915972222222223</v>
      </c>
      <c r="E57" s="23" t="s">
        <v>297</v>
      </c>
      <c r="F57" s="25" t="s">
        <v>297</v>
      </c>
      <c r="G57" s="42" t="s">
        <v>28</v>
      </c>
      <c r="H57" s="42" t="s">
        <v>29</v>
      </c>
      <c r="I57" s="27">
        <f>_xlfn.XLOOKUP(G57,'Item Usage'!$B$59:$B$65,'Item Usage'!$D$59:$D$65,"---",0,1)</f>
        <v>83.773611111111123</v>
      </c>
      <c r="J57" s="23" t="str">
        <f>_xlfn.XLOOKUP(G57,'Item Usage'!$B$70:$B$100,'Item Usage'!$D$70:$D$100,"---",0,1)</f>
        <v>---</v>
      </c>
      <c r="K57" s="42" t="s">
        <v>492</v>
      </c>
      <c r="L57" s="27" cm="1">
        <f t="array" ref="L57">IF(D57="---","---", SumHH((D57,O57,R57), I57))</f>
        <v>3.3923611111111009</v>
      </c>
      <c r="M57" s="23" t="str">
        <f>IF($E57="---","---",($E57+$O57+$R57)-$J57)</f>
        <v>---</v>
      </c>
      <c r="N57" s="69" t="str">
        <f>IF($F57="---","---",($F57+$O57+$R57))</f>
        <v>---</v>
      </c>
      <c r="O57" s="27">
        <v>0</v>
      </c>
      <c r="P57" s="42"/>
      <c r="Q57" s="42" t="s">
        <v>101</v>
      </c>
      <c r="R57" s="27">
        <v>6.25</v>
      </c>
      <c r="S57" s="63" t="s">
        <v>226</v>
      </c>
      <c r="T57" s="42">
        <v>0</v>
      </c>
      <c r="U57" s="63"/>
      <c r="V57" s="63" t="s">
        <v>227</v>
      </c>
      <c r="W57" s="42" t="s">
        <v>492</v>
      </c>
      <c r="X57" s="63" t="s">
        <v>113</v>
      </c>
      <c r="Y57" s="58">
        <v>5210007</v>
      </c>
      <c r="Z57" s="42" t="s">
        <v>115</v>
      </c>
      <c r="AA57" s="42" t="s">
        <v>327</v>
      </c>
      <c r="AB57" s="27">
        <v>5.625</v>
      </c>
    </row>
    <row r="58" spans="1:28" x14ac:dyDescent="0.25">
      <c r="A58" s="64"/>
      <c r="B58" s="42"/>
      <c r="C58" s="42"/>
      <c r="D58" s="27">
        <v>80.915972222222223</v>
      </c>
      <c r="E58" s="23" t="s">
        <v>297</v>
      </c>
      <c r="F58" s="25" t="s">
        <v>297</v>
      </c>
      <c r="G58" s="42" t="s">
        <v>28</v>
      </c>
      <c r="H58" s="42" t="s">
        <v>29</v>
      </c>
      <c r="I58" s="27">
        <f>_xlfn.XLOOKUP(G58,'Item Usage'!$B$59:$B$65,'Item Usage'!$D$59:$D$65,"---",0,1)</f>
        <v>83.773611111111123</v>
      </c>
      <c r="J58" s="23" t="str">
        <f>_xlfn.XLOOKUP(G58,'Item Usage'!$B$70:$B$100,'Item Usage'!$D$70:$D$100,"---",0,1)</f>
        <v>---</v>
      </c>
      <c r="K58" s="42" t="s">
        <v>492</v>
      </c>
      <c r="L58" s="27" cm="1">
        <f t="array" ref="L58">IF(D58="---","---", SumHH((D58,O58,R58), I58))</f>
        <v>3.3923611111111009</v>
      </c>
      <c r="M58" s="23" t="str">
        <f>IF($E58="---","---",($E58+$O58+$R58)-$J58)</f>
        <v>---</v>
      </c>
      <c r="N58" s="69" t="str">
        <f>IF($F58="---","---",($F58+$O58+$R58))</f>
        <v>---</v>
      </c>
      <c r="O58" s="27">
        <v>0</v>
      </c>
      <c r="P58" s="42"/>
      <c r="Q58" s="42" t="s">
        <v>101</v>
      </c>
      <c r="R58" s="27">
        <v>6.25</v>
      </c>
      <c r="S58" s="63" t="s">
        <v>229</v>
      </c>
      <c r="T58" s="42">
        <v>0</v>
      </c>
      <c r="U58" s="63"/>
      <c r="V58" s="63" t="s">
        <v>230</v>
      </c>
      <c r="W58" s="42" t="s">
        <v>492</v>
      </c>
      <c r="X58" s="63" t="s">
        <v>113</v>
      </c>
      <c r="Y58" s="58">
        <v>5210008</v>
      </c>
      <c r="Z58" s="42" t="s">
        <v>115</v>
      </c>
      <c r="AA58" s="42" t="s">
        <v>327</v>
      </c>
      <c r="AB58" s="27">
        <v>5.625</v>
      </c>
    </row>
    <row r="59" spans="1:28" x14ac:dyDescent="0.25">
      <c r="A59" s="64"/>
      <c r="B59" s="42"/>
      <c r="C59" s="42"/>
      <c r="D59" s="27">
        <v>80.915972222222223</v>
      </c>
      <c r="E59" s="23" t="s">
        <v>297</v>
      </c>
      <c r="F59" s="25" t="s">
        <v>297</v>
      </c>
      <c r="G59" s="42" t="s">
        <v>28</v>
      </c>
      <c r="H59" s="42" t="s">
        <v>29</v>
      </c>
      <c r="I59" s="27">
        <f>_xlfn.XLOOKUP(G59,'Item Usage'!$B$59:$B$65,'Item Usage'!$D$59:$D$65,"---",0,1)</f>
        <v>83.773611111111123</v>
      </c>
      <c r="J59" s="23" t="str">
        <f>_xlfn.XLOOKUP(G59,'Item Usage'!$B$70:$B$100,'Item Usage'!$D$70:$D$100,"---",0,1)</f>
        <v>---</v>
      </c>
      <c r="K59" s="42" t="s">
        <v>492</v>
      </c>
      <c r="L59" s="27" cm="1">
        <f t="array" ref="L59">IF(D59="---","---", SumHH((D59,O59,R59), I59))</f>
        <v>3.3923611111111009</v>
      </c>
      <c r="M59" s="23" t="str">
        <f>IF($E59="---","---",($E59+$O59+$R59)-$J59)</f>
        <v>---</v>
      </c>
      <c r="N59" s="69" t="str">
        <f>IF($F59="---","---",($F59+$O59+$R59))</f>
        <v>---</v>
      </c>
      <c r="O59" s="27">
        <v>0</v>
      </c>
      <c r="P59" s="42"/>
      <c r="Q59" s="42" t="s">
        <v>101</v>
      </c>
      <c r="R59" s="27">
        <v>6.25</v>
      </c>
      <c r="S59" s="63" t="s">
        <v>387</v>
      </c>
      <c r="T59" s="42">
        <v>0</v>
      </c>
      <c r="U59" s="63"/>
      <c r="V59" s="63" t="s">
        <v>388</v>
      </c>
      <c r="W59" s="42" t="s">
        <v>492</v>
      </c>
      <c r="X59" s="63" t="s">
        <v>113</v>
      </c>
      <c r="Y59" s="58" t="s">
        <v>389</v>
      </c>
      <c r="Z59" s="42" t="s">
        <v>115</v>
      </c>
      <c r="AA59" s="42" t="s">
        <v>327</v>
      </c>
      <c r="AB59" s="27">
        <v>5.625</v>
      </c>
    </row>
    <row r="60" spans="1:28" x14ac:dyDescent="0.25">
      <c r="A60" s="64"/>
      <c r="B60" s="42"/>
      <c r="C60" s="42"/>
      <c r="D60" s="27">
        <v>80.915972222222223</v>
      </c>
      <c r="E60" s="23" t="s">
        <v>297</v>
      </c>
      <c r="F60" s="25" t="s">
        <v>297</v>
      </c>
      <c r="G60" s="42" t="s">
        <v>28</v>
      </c>
      <c r="H60" s="42" t="s">
        <v>29</v>
      </c>
      <c r="I60" s="27">
        <f>_xlfn.XLOOKUP(G60,'Item Usage'!$B$59:$B$65,'Item Usage'!$D$59:$D$65,"---",0,1)</f>
        <v>83.773611111111123</v>
      </c>
      <c r="J60" s="23" t="str">
        <f>_xlfn.XLOOKUP(G60,'Item Usage'!$B$70:$B$100,'Item Usage'!$D$70:$D$100,"---",0,1)</f>
        <v>---</v>
      </c>
      <c r="K60" s="42" t="s">
        <v>492</v>
      </c>
      <c r="L60" s="27" cm="1">
        <f t="array" ref="L60">IF(D60="---","---", SumHH((D60,O60,R60), I60))</f>
        <v>3.3923611111111009</v>
      </c>
      <c r="M60" s="23" t="str">
        <f>IF($E60="---","---",($E60+$O60+$R60)-$J60)</f>
        <v>---</v>
      </c>
      <c r="N60" s="69" t="str">
        <f>IF($F60="---","---",($F60+$O60+$R60))</f>
        <v>---</v>
      </c>
      <c r="O60" s="27">
        <v>0</v>
      </c>
      <c r="P60" s="42"/>
      <c r="Q60" s="42" t="s">
        <v>101</v>
      </c>
      <c r="R60" s="27">
        <v>6.25</v>
      </c>
      <c r="S60" s="63" t="s">
        <v>235</v>
      </c>
      <c r="T60" s="42">
        <v>0</v>
      </c>
      <c r="U60" s="63"/>
      <c r="V60" s="63" t="s">
        <v>236</v>
      </c>
      <c r="W60" s="42" t="s">
        <v>579</v>
      </c>
      <c r="X60" s="63" t="s">
        <v>237</v>
      </c>
      <c r="Y60" s="58">
        <v>6420002</v>
      </c>
      <c r="Z60" s="42" t="s">
        <v>115</v>
      </c>
      <c r="AA60" s="42" t="s">
        <v>328</v>
      </c>
      <c r="AB60" s="27">
        <v>5.625</v>
      </c>
    </row>
    <row r="61" spans="1:28" x14ac:dyDescent="0.25">
      <c r="A61" s="64"/>
      <c r="B61" s="42"/>
      <c r="C61" s="42"/>
      <c r="D61" s="27">
        <v>80.915972222222223</v>
      </c>
      <c r="E61" s="23" t="s">
        <v>297</v>
      </c>
      <c r="F61" s="25" t="s">
        <v>297</v>
      </c>
      <c r="G61" s="42" t="s">
        <v>28</v>
      </c>
      <c r="H61" s="42" t="s">
        <v>29</v>
      </c>
      <c r="I61" s="27">
        <f>_xlfn.XLOOKUP(G61,'Item Usage'!$B$59:$B$65,'Item Usage'!$D$59:$D$65,"---",0,1)</f>
        <v>83.773611111111123</v>
      </c>
      <c r="J61" s="23" t="str">
        <f>_xlfn.XLOOKUP(G61,'Item Usage'!$B$70:$B$100,'Item Usage'!$D$70:$D$100,"---",0,1)</f>
        <v>---</v>
      </c>
      <c r="K61" s="42" t="s">
        <v>492</v>
      </c>
      <c r="L61" s="27" cm="1">
        <f t="array" ref="L61">IF(D61="---","---", SumHH((D61,O61,R61), I61))</f>
        <v>3.3923611111111009</v>
      </c>
      <c r="M61" s="23" t="str">
        <f>IF($E61="---","---",($E61+$O61+$R61)-$J61)</f>
        <v>---</v>
      </c>
      <c r="N61" s="69" t="str">
        <f>IF($F61="---","---",($F61+$O61+$R61))</f>
        <v>---</v>
      </c>
      <c r="O61" s="27">
        <v>0</v>
      </c>
      <c r="P61" s="42"/>
      <c r="Q61" s="42" t="s">
        <v>101</v>
      </c>
      <c r="R61" s="27">
        <v>6.25</v>
      </c>
      <c r="S61" s="63" t="s">
        <v>208</v>
      </c>
      <c r="T61" s="42">
        <v>0</v>
      </c>
      <c r="U61" s="63"/>
      <c r="V61" s="63" t="s">
        <v>209</v>
      </c>
      <c r="W61" s="42" t="s">
        <v>580</v>
      </c>
      <c r="X61" s="63" t="s">
        <v>210</v>
      </c>
      <c r="Y61" s="58">
        <v>6210002</v>
      </c>
      <c r="Z61" s="42" t="s">
        <v>115</v>
      </c>
      <c r="AA61" s="42" t="s">
        <v>328</v>
      </c>
      <c r="AB61" s="27">
        <v>5.625</v>
      </c>
    </row>
    <row r="62" spans="1:28" x14ac:dyDescent="0.25">
      <c r="A62" s="64"/>
      <c r="B62" s="42"/>
      <c r="C62" s="42"/>
      <c r="D62" s="27">
        <v>80.915972222222223</v>
      </c>
      <c r="E62" s="23" t="s">
        <v>297</v>
      </c>
      <c r="F62" s="25" t="s">
        <v>297</v>
      </c>
      <c r="G62" s="42" t="s">
        <v>28</v>
      </c>
      <c r="H62" s="42" t="s">
        <v>29</v>
      </c>
      <c r="I62" s="27">
        <f>_xlfn.XLOOKUP(G62,'Item Usage'!$B$59:$B$65,'Item Usage'!$D$59:$D$65,"---",0,1)</f>
        <v>83.773611111111123</v>
      </c>
      <c r="J62" s="23" t="str">
        <f>_xlfn.XLOOKUP(G62,'Item Usage'!$B$70:$B$100,'Item Usage'!$D$70:$D$100,"---",0,1)</f>
        <v>---</v>
      </c>
      <c r="K62" s="42" t="s">
        <v>492</v>
      </c>
      <c r="L62" s="27" cm="1">
        <f t="array" ref="L62">IF(D62="---","---", SumHH((D62,O62,R62), I62))</f>
        <v>3.3923611111111009</v>
      </c>
      <c r="M62" s="23" t="str">
        <f>IF($E62="---","---",($E62+$O62+$R62)-$J62)</f>
        <v>---</v>
      </c>
      <c r="N62" s="69" t="str">
        <f>IF($F62="---","---",($F62+$O62+$R62))</f>
        <v>---</v>
      </c>
      <c r="O62" s="27">
        <v>0</v>
      </c>
      <c r="P62" s="42"/>
      <c r="Q62" s="42" t="s">
        <v>101</v>
      </c>
      <c r="R62" s="27">
        <v>6.25</v>
      </c>
      <c r="S62" s="63" t="s">
        <v>208</v>
      </c>
      <c r="T62" s="42">
        <v>0</v>
      </c>
      <c r="U62" s="63"/>
      <c r="V62" s="63" t="s">
        <v>209</v>
      </c>
      <c r="W62" s="42" t="s">
        <v>581</v>
      </c>
      <c r="X62" s="63" t="s">
        <v>210</v>
      </c>
      <c r="Y62" s="58">
        <v>6210002</v>
      </c>
      <c r="Z62" s="42" t="s">
        <v>115</v>
      </c>
      <c r="AA62" s="42" t="s">
        <v>328</v>
      </c>
      <c r="AB62" s="27">
        <v>5.625</v>
      </c>
    </row>
    <row r="63" spans="1:28" x14ac:dyDescent="0.25">
      <c r="A63" s="64"/>
      <c r="B63" s="42"/>
      <c r="C63" s="42"/>
      <c r="D63" s="27">
        <v>80.915972222222223</v>
      </c>
      <c r="E63" s="23" t="s">
        <v>297</v>
      </c>
      <c r="F63" s="25" t="s">
        <v>297</v>
      </c>
      <c r="G63" s="42" t="s">
        <v>28</v>
      </c>
      <c r="H63" s="42" t="s">
        <v>29</v>
      </c>
      <c r="I63" s="27">
        <f>_xlfn.XLOOKUP(G63,'Item Usage'!$B$59:$B$65,'Item Usage'!$D$59:$D$65,"---",0,1)</f>
        <v>83.773611111111123</v>
      </c>
      <c r="J63" s="23" t="str">
        <f>_xlfn.XLOOKUP(G63,'Item Usage'!$B$70:$B$100,'Item Usage'!$D$70:$D$100,"---",0,1)</f>
        <v>---</v>
      </c>
      <c r="K63" s="42" t="s">
        <v>492</v>
      </c>
      <c r="L63" s="27" cm="1">
        <f t="array" ref="L63">IF(D63="---","---", SumHH((D63,O63,R63), I63))</f>
        <v>3.3923611111111009</v>
      </c>
      <c r="M63" s="23" t="str">
        <f>IF($E63="---","---",($E63+$O63+$R63)-$J63)</f>
        <v>---</v>
      </c>
      <c r="N63" s="69" t="str">
        <f>IF($F63="---","---",($F63+$O63+$R63))</f>
        <v>---</v>
      </c>
      <c r="O63" s="27">
        <v>0</v>
      </c>
      <c r="P63" s="42"/>
      <c r="Q63" s="42" t="s">
        <v>101</v>
      </c>
      <c r="R63" s="27">
        <v>6.25</v>
      </c>
      <c r="S63" s="63" t="s">
        <v>213</v>
      </c>
      <c r="T63" s="42">
        <v>0</v>
      </c>
      <c r="U63" s="63" t="s">
        <v>582</v>
      </c>
      <c r="V63" s="63" t="s">
        <v>214</v>
      </c>
      <c r="W63" s="42" t="s">
        <v>581</v>
      </c>
      <c r="X63" s="63" t="s">
        <v>210</v>
      </c>
      <c r="Y63" s="58">
        <v>6210003</v>
      </c>
      <c r="Z63" s="42" t="s">
        <v>115</v>
      </c>
      <c r="AA63" s="42" t="s">
        <v>328</v>
      </c>
      <c r="AB63" s="27">
        <v>5.625</v>
      </c>
    </row>
    <row r="64" spans="1:28" x14ac:dyDescent="0.25">
      <c r="A64" s="64"/>
      <c r="B64" s="42"/>
      <c r="C64" s="42"/>
      <c r="D64" s="27">
        <v>80.915972222222223</v>
      </c>
      <c r="E64" s="23" t="s">
        <v>297</v>
      </c>
      <c r="F64" s="25" t="s">
        <v>297</v>
      </c>
      <c r="G64" s="42" t="s">
        <v>28</v>
      </c>
      <c r="H64" s="42" t="s">
        <v>29</v>
      </c>
      <c r="I64" s="27">
        <f>_xlfn.XLOOKUP(G64,'Item Usage'!$B$59:$B$65,'Item Usage'!$D$59:$D$65,"---",0,1)</f>
        <v>83.773611111111123</v>
      </c>
      <c r="J64" s="23" t="str">
        <f>_xlfn.XLOOKUP(G64,'Item Usage'!$B$70:$B$100,'Item Usage'!$D$70:$D$100,"---",0,1)</f>
        <v>---</v>
      </c>
      <c r="K64" s="42" t="s">
        <v>492</v>
      </c>
      <c r="L64" s="27" cm="1">
        <f t="array" ref="L64">IF(D64="---","---", SumHH((D64,O64,R64), I64))</f>
        <v>3.3923611111111009</v>
      </c>
      <c r="M64" s="23" t="str">
        <f>IF($E64="---","---",($E64+$O64+$R64)-$J64)</f>
        <v>---</v>
      </c>
      <c r="N64" s="69" t="str">
        <f>IF($F64="---","---",($F64+$O64+$R64))</f>
        <v>---</v>
      </c>
      <c r="O64" s="27">
        <v>0</v>
      </c>
      <c r="P64" s="42"/>
      <c r="Q64" s="42" t="s">
        <v>101</v>
      </c>
      <c r="R64" s="27">
        <v>6.25</v>
      </c>
      <c r="S64" s="63" t="s">
        <v>208</v>
      </c>
      <c r="T64" s="42">
        <v>0</v>
      </c>
      <c r="U64" s="63"/>
      <c r="V64" s="63" t="s">
        <v>209</v>
      </c>
      <c r="W64" s="42" t="s">
        <v>583</v>
      </c>
      <c r="X64" s="63" t="s">
        <v>210</v>
      </c>
      <c r="Y64" s="58">
        <v>6210002</v>
      </c>
      <c r="Z64" s="42" t="s">
        <v>115</v>
      </c>
      <c r="AA64" s="42" t="s">
        <v>328</v>
      </c>
      <c r="AB64" s="27">
        <v>5.625</v>
      </c>
    </row>
    <row r="65" spans="1:28" x14ac:dyDescent="0.25">
      <c r="A65" s="64"/>
      <c r="B65" s="42"/>
      <c r="C65" s="42"/>
      <c r="D65" s="27">
        <v>80.915972222222223</v>
      </c>
      <c r="E65" s="23" t="s">
        <v>297</v>
      </c>
      <c r="F65" s="25" t="s">
        <v>297</v>
      </c>
      <c r="G65" s="42" t="s">
        <v>28</v>
      </c>
      <c r="H65" s="42" t="s">
        <v>29</v>
      </c>
      <c r="I65" s="27">
        <f>_xlfn.XLOOKUP(G65,'Item Usage'!$B$59:$B$65,'Item Usage'!$D$59:$D$65,"---",0,1)</f>
        <v>83.773611111111123</v>
      </c>
      <c r="J65" s="23" t="str">
        <f>_xlfn.XLOOKUP(G65,'Item Usage'!$B$70:$B$100,'Item Usage'!$D$70:$D$100,"---",0,1)</f>
        <v>---</v>
      </c>
      <c r="K65" s="42" t="s">
        <v>492</v>
      </c>
      <c r="L65" s="27" cm="1">
        <f t="array" ref="L65">IF(D65="---","---", SumHH((D65,O65,R65), I65))</f>
        <v>3.3923611111111009</v>
      </c>
      <c r="M65" s="23" t="str">
        <f>IF($E65="---","---",($E65+$O65+$R65)-$J65)</f>
        <v>---</v>
      </c>
      <c r="N65" s="69" t="str">
        <f>IF($F65="---","---",($F65+$O65+$R65))</f>
        <v>---</v>
      </c>
      <c r="O65" s="27">
        <v>0</v>
      </c>
      <c r="P65" s="42"/>
      <c r="Q65" s="42" t="s">
        <v>101</v>
      </c>
      <c r="R65" s="27">
        <v>6.25</v>
      </c>
      <c r="S65" s="63" t="s">
        <v>213</v>
      </c>
      <c r="T65" s="42">
        <v>0</v>
      </c>
      <c r="U65" s="63" t="s">
        <v>239</v>
      </c>
      <c r="V65" s="63" t="s">
        <v>214</v>
      </c>
      <c r="W65" s="42" t="s">
        <v>583</v>
      </c>
      <c r="X65" s="63" t="s">
        <v>210</v>
      </c>
      <c r="Y65" s="58">
        <v>6210003</v>
      </c>
      <c r="Z65" s="42" t="s">
        <v>115</v>
      </c>
      <c r="AA65" s="42" t="s">
        <v>328</v>
      </c>
      <c r="AB65" s="27">
        <v>5.625</v>
      </c>
    </row>
    <row r="66" spans="1:28" x14ac:dyDescent="0.25">
      <c r="A66" s="64"/>
      <c r="B66" s="42"/>
      <c r="C66" s="42"/>
      <c r="D66" s="27">
        <v>80.915972222222223</v>
      </c>
      <c r="E66" s="23" t="s">
        <v>297</v>
      </c>
      <c r="F66" s="25" t="s">
        <v>297</v>
      </c>
      <c r="G66" s="42" t="s">
        <v>28</v>
      </c>
      <c r="H66" s="42" t="s">
        <v>29</v>
      </c>
      <c r="I66" s="27">
        <f>_xlfn.XLOOKUP(G66,'Item Usage'!$B$59:$B$65,'Item Usage'!$D$59:$D$65,"---",0,1)</f>
        <v>83.773611111111123</v>
      </c>
      <c r="J66" s="23" t="str">
        <f>_xlfn.XLOOKUP(G66,'Item Usage'!$B$70:$B$100,'Item Usage'!$D$70:$D$100,"---",0,1)</f>
        <v>---</v>
      </c>
      <c r="K66" s="42" t="s">
        <v>492</v>
      </c>
      <c r="L66" s="27" cm="1">
        <f t="array" ref="L66">IF(D66="---","---", SumHH((D66,O66,R66), I66))</f>
        <v>3.3923611111111009</v>
      </c>
      <c r="M66" s="23" t="str">
        <f>IF($E66="---","---",($E66+$O66+$R66)-$J66)</f>
        <v>---</v>
      </c>
      <c r="N66" s="69" t="str">
        <f>IF($F66="---","---",($F66+$O66+$R66))</f>
        <v>---</v>
      </c>
      <c r="O66" s="27">
        <v>0</v>
      </c>
      <c r="P66" s="42"/>
      <c r="Q66" s="42" t="s">
        <v>101</v>
      </c>
      <c r="R66" s="27">
        <v>6.25</v>
      </c>
      <c r="S66" s="63" t="s">
        <v>208</v>
      </c>
      <c r="T66" s="42">
        <v>0</v>
      </c>
      <c r="U66" s="63"/>
      <c r="V66" s="63" t="s">
        <v>209</v>
      </c>
      <c r="W66" s="42" t="s">
        <v>584</v>
      </c>
      <c r="X66" s="63" t="s">
        <v>210</v>
      </c>
      <c r="Y66" s="58">
        <v>6210002</v>
      </c>
      <c r="Z66" s="42" t="s">
        <v>115</v>
      </c>
      <c r="AA66" s="42" t="s">
        <v>328</v>
      </c>
      <c r="AB66" s="27">
        <v>5.625</v>
      </c>
    </row>
    <row r="67" spans="1:28" x14ac:dyDescent="0.25">
      <c r="A67" s="64"/>
      <c r="B67" s="42"/>
      <c r="C67" s="42"/>
      <c r="D67" s="27">
        <v>80.915972222222223</v>
      </c>
      <c r="E67" s="23" t="s">
        <v>297</v>
      </c>
      <c r="F67" s="25" t="s">
        <v>297</v>
      </c>
      <c r="G67" s="42" t="s">
        <v>28</v>
      </c>
      <c r="H67" s="42" t="s">
        <v>29</v>
      </c>
      <c r="I67" s="27">
        <f>_xlfn.XLOOKUP(G67,'Item Usage'!$B$59:$B$65,'Item Usage'!$D$59:$D$65,"---",0,1)</f>
        <v>83.773611111111123</v>
      </c>
      <c r="J67" s="23" t="str">
        <f>_xlfn.XLOOKUP(G67,'Item Usage'!$B$70:$B$100,'Item Usage'!$D$70:$D$100,"---",0,1)</f>
        <v>---</v>
      </c>
      <c r="K67" s="42" t="s">
        <v>492</v>
      </c>
      <c r="L67" s="27" cm="1">
        <f t="array" ref="L67">IF(D67="---","---", SumHH((D67,O67,R67), I67))</f>
        <v>3.3923611111111009</v>
      </c>
      <c r="M67" s="23" t="str">
        <f>IF($E67="---","---",($E67+$O67+$R67)-$J67)</f>
        <v>---</v>
      </c>
      <c r="N67" s="69" t="str">
        <f>IF($F67="---","---",($F67+$O67+$R67))</f>
        <v>---</v>
      </c>
      <c r="O67" s="27">
        <v>0</v>
      </c>
      <c r="P67" s="42"/>
      <c r="Q67" s="42" t="s">
        <v>101</v>
      </c>
      <c r="R67" s="27">
        <v>6.25</v>
      </c>
      <c r="S67" s="63" t="s">
        <v>213</v>
      </c>
      <c r="T67" s="42">
        <v>0</v>
      </c>
      <c r="U67" s="63" t="s">
        <v>582</v>
      </c>
      <c r="V67" s="63" t="s">
        <v>214</v>
      </c>
      <c r="W67" s="42" t="s">
        <v>584</v>
      </c>
      <c r="X67" s="63" t="s">
        <v>210</v>
      </c>
      <c r="Y67" s="58">
        <v>6210003</v>
      </c>
      <c r="Z67" s="42" t="s">
        <v>115</v>
      </c>
      <c r="AA67" s="42" t="s">
        <v>328</v>
      </c>
      <c r="AB67" s="27">
        <v>5.625</v>
      </c>
    </row>
    <row r="68" spans="1:28" x14ac:dyDescent="0.25">
      <c r="A68" s="64"/>
      <c r="B68" s="42"/>
      <c r="C68" s="42"/>
      <c r="D68" s="27">
        <v>83.205555555555549</v>
      </c>
      <c r="E68" s="23" t="s">
        <v>297</v>
      </c>
      <c r="F68" s="25" t="s">
        <v>297</v>
      </c>
      <c r="G68" s="42" t="s">
        <v>28</v>
      </c>
      <c r="H68" s="42" t="s">
        <v>29</v>
      </c>
      <c r="I68" s="27">
        <f>_xlfn.XLOOKUP(G68,'Item Usage'!$B$59:$B$65,'Item Usage'!$D$59:$D$65,"---",0,1)</f>
        <v>83.773611111111123</v>
      </c>
      <c r="J68" s="23" t="str">
        <f>_xlfn.XLOOKUP(G68,'Item Usage'!$B$70:$B$100,'Item Usage'!$D$70:$D$100,"---",0,1)</f>
        <v>---</v>
      </c>
      <c r="K68" s="42" t="s">
        <v>492</v>
      </c>
      <c r="L68" s="27" cm="1">
        <f t="array" ref="L68">IF(D68="---","---", SumHH((D68,O68,R68), I68))</f>
        <v>3.598611111111091</v>
      </c>
      <c r="M68" s="23" t="str">
        <f>IF($E68="---","---",($E68+$O68+$R68)-$J68)</f>
        <v>---</v>
      </c>
      <c r="N68" s="69" t="str">
        <f>IF($F68="---","---",($F68+$O68+$R68))</f>
        <v>---</v>
      </c>
      <c r="O68" s="27">
        <v>0</v>
      </c>
      <c r="P68" s="42"/>
      <c r="Q68" s="42" t="s">
        <v>101</v>
      </c>
      <c r="R68" s="27">
        <v>4.166666666666667</v>
      </c>
      <c r="S68" s="63" t="s">
        <v>220</v>
      </c>
      <c r="T68" s="42">
        <v>0</v>
      </c>
      <c r="U68" s="63" t="s">
        <v>124</v>
      </c>
      <c r="V68" s="63" t="s">
        <v>221</v>
      </c>
      <c r="W68" s="42" t="s">
        <v>495</v>
      </c>
      <c r="X68" s="63" t="s">
        <v>105</v>
      </c>
      <c r="Y68" s="58">
        <v>7200003</v>
      </c>
      <c r="Z68" s="42">
        <v>64643</v>
      </c>
      <c r="AA68" s="42" t="s">
        <v>326</v>
      </c>
      <c r="AB68" s="27">
        <v>3.75</v>
      </c>
    </row>
    <row r="69" spans="1:28" x14ac:dyDescent="0.25">
      <c r="A69" s="64"/>
      <c r="B69" s="42"/>
      <c r="C69" s="42"/>
      <c r="D69" s="27">
        <v>83.205555555555549</v>
      </c>
      <c r="E69" s="23" t="s">
        <v>297</v>
      </c>
      <c r="F69" s="25" t="s">
        <v>297</v>
      </c>
      <c r="G69" s="42" t="s">
        <v>28</v>
      </c>
      <c r="H69" s="42" t="s">
        <v>29</v>
      </c>
      <c r="I69" s="27">
        <f>_xlfn.XLOOKUP(G69,'Item Usage'!$B$59:$B$65,'Item Usage'!$D$59:$D$65,"---",0,1)</f>
        <v>83.773611111111123</v>
      </c>
      <c r="J69" s="23" t="str">
        <f>_xlfn.XLOOKUP(G69,'Item Usage'!$B$70:$B$100,'Item Usage'!$D$70:$D$100,"---",0,1)</f>
        <v>---</v>
      </c>
      <c r="K69" s="42" t="s">
        <v>492</v>
      </c>
      <c r="L69" s="27" cm="1">
        <f t="array" ref="L69">IF(D69="---","---", SumHH((D69,O69,R69), I69))</f>
        <v>3.598611111111091</v>
      </c>
      <c r="M69" s="23" t="str">
        <f>IF($E69="---","---",($E69+$O69+$R69)-$J69)</f>
        <v>---</v>
      </c>
      <c r="N69" s="69" t="str">
        <f>IF($F69="---","---",($F69+$O69+$R69))</f>
        <v>---</v>
      </c>
      <c r="O69" s="27">
        <v>0</v>
      </c>
      <c r="P69" s="42"/>
      <c r="Q69" s="42" t="s">
        <v>101</v>
      </c>
      <c r="R69" s="27">
        <v>4.166666666666667</v>
      </c>
      <c r="S69" s="63" t="s">
        <v>220</v>
      </c>
      <c r="T69" s="42">
        <v>0</v>
      </c>
      <c r="U69" s="63" t="s">
        <v>124</v>
      </c>
      <c r="V69" s="63" t="s">
        <v>221</v>
      </c>
      <c r="W69" s="42" t="s">
        <v>505</v>
      </c>
      <c r="X69" s="63" t="s">
        <v>105</v>
      </c>
      <c r="Y69" s="58">
        <v>7200003</v>
      </c>
      <c r="Z69" s="42">
        <v>64643</v>
      </c>
      <c r="AA69" s="42" t="s">
        <v>326</v>
      </c>
      <c r="AB69" s="27">
        <v>3.75</v>
      </c>
    </row>
    <row r="70" spans="1:28" x14ac:dyDescent="0.25">
      <c r="A70" s="64"/>
      <c r="B70" s="42"/>
      <c r="C70" s="42"/>
      <c r="D70" s="27">
        <v>83.205555555555549</v>
      </c>
      <c r="E70" s="23" t="s">
        <v>297</v>
      </c>
      <c r="F70" s="25" t="s">
        <v>297</v>
      </c>
      <c r="G70" s="42" t="s">
        <v>28</v>
      </c>
      <c r="H70" s="42" t="s">
        <v>29</v>
      </c>
      <c r="I70" s="27">
        <f>_xlfn.XLOOKUP(G70,'Item Usage'!$B$59:$B$65,'Item Usage'!$D$59:$D$65,"---",0,1)</f>
        <v>83.773611111111123</v>
      </c>
      <c r="J70" s="23" t="str">
        <f>_xlfn.XLOOKUP(G70,'Item Usage'!$B$70:$B$100,'Item Usage'!$D$70:$D$100,"---",0,1)</f>
        <v>---</v>
      </c>
      <c r="K70" s="42" t="s">
        <v>492</v>
      </c>
      <c r="L70" s="27" cm="1">
        <f t="array" ref="L70">IF(D70="---","---", SumHH((D70,O70,R70), I70))</f>
        <v>3.598611111111091</v>
      </c>
      <c r="M70" s="23" t="str">
        <f>IF($E70="---","---",($E70+$O70+$R70)-$J70)</f>
        <v>---</v>
      </c>
      <c r="N70" s="69" t="str">
        <f>IF($F70="---","---",($F70+$O70+$R70))</f>
        <v>---</v>
      </c>
      <c r="O70" s="27">
        <v>0</v>
      </c>
      <c r="P70" s="42"/>
      <c r="Q70" s="42" t="s">
        <v>101</v>
      </c>
      <c r="R70" s="27">
        <v>4.166666666666667</v>
      </c>
      <c r="S70" s="63" t="s">
        <v>404</v>
      </c>
      <c r="T70" s="42">
        <v>0</v>
      </c>
      <c r="U70" s="63"/>
      <c r="V70" s="63" t="s">
        <v>405</v>
      </c>
      <c r="W70" s="42" t="s">
        <v>492</v>
      </c>
      <c r="X70" s="63" t="s">
        <v>113</v>
      </c>
      <c r="Y70" s="58">
        <v>1810001</v>
      </c>
      <c r="Z70" s="42" t="s">
        <v>115</v>
      </c>
      <c r="AA70" s="42" t="s">
        <v>327</v>
      </c>
      <c r="AB70" s="27">
        <v>3.75</v>
      </c>
    </row>
    <row r="71" spans="1:28" x14ac:dyDescent="0.25">
      <c r="A71" s="64"/>
      <c r="B71" s="42"/>
      <c r="C71" s="42"/>
      <c r="D71" s="27">
        <v>83.205555555555549</v>
      </c>
      <c r="E71" s="23" t="s">
        <v>297</v>
      </c>
      <c r="F71" s="25" t="s">
        <v>297</v>
      </c>
      <c r="G71" s="42" t="s">
        <v>28</v>
      </c>
      <c r="H71" s="42" t="s">
        <v>29</v>
      </c>
      <c r="I71" s="27">
        <f>_xlfn.XLOOKUP(G71,'Item Usage'!$B$59:$B$65,'Item Usage'!$D$59:$D$65,"---",0,1)</f>
        <v>83.773611111111123</v>
      </c>
      <c r="J71" s="23" t="str">
        <f>_xlfn.XLOOKUP(G71,'Item Usage'!$B$70:$B$100,'Item Usage'!$D$70:$D$100,"---",0,1)</f>
        <v>---</v>
      </c>
      <c r="K71" s="42" t="s">
        <v>492</v>
      </c>
      <c r="L71" s="27" cm="1">
        <f t="array" ref="L71">IF(D71="---","---", SumHH((D71,O71,R71), I71))</f>
        <v>3.598611111111091</v>
      </c>
      <c r="M71" s="23" t="str">
        <f>IF($E71="---","---",($E71+$O71+$R71)-$J71)</f>
        <v>---</v>
      </c>
      <c r="N71" s="69" t="str">
        <f>IF($F71="---","---",($F71+$O71+$R71))</f>
        <v>---</v>
      </c>
      <c r="O71" s="27">
        <v>0</v>
      </c>
      <c r="P71" s="42"/>
      <c r="Q71" s="42" t="s">
        <v>101</v>
      </c>
      <c r="R71" s="27">
        <v>4.166666666666667</v>
      </c>
      <c r="S71" s="63" t="s">
        <v>172</v>
      </c>
      <c r="T71" s="42">
        <v>0</v>
      </c>
      <c r="U71" s="63"/>
      <c r="V71" s="63" t="s">
        <v>173</v>
      </c>
      <c r="W71" s="42" t="s">
        <v>492</v>
      </c>
      <c r="X71" s="63" t="s">
        <v>113</v>
      </c>
      <c r="Y71" s="58">
        <v>2810001</v>
      </c>
      <c r="Z71" s="42" t="s">
        <v>115</v>
      </c>
      <c r="AA71" s="42" t="s">
        <v>327</v>
      </c>
      <c r="AB71" s="27">
        <v>3.9583333333333335</v>
      </c>
    </row>
    <row r="72" spans="1:28" x14ac:dyDescent="0.25">
      <c r="A72" s="64"/>
      <c r="B72" s="42"/>
      <c r="C72" s="42"/>
      <c r="D72" s="27">
        <v>79.282638888888883</v>
      </c>
      <c r="E72" s="23" t="s">
        <v>297</v>
      </c>
      <c r="F72" s="25" t="s">
        <v>297</v>
      </c>
      <c r="G72" s="42" t="s">
        <v>28</v>
      </c>
      <c r="H72" s="42" t="s">
        <v>29</v>
      </c>
      <c r="I72" s="27">
        <f>_xlfn.XLOOKUP(G72,'Item Usage'!$B$59:$B$65,'Item Usage'!$D$59:$D$65,"---",0,1)</f>
        <v>83.773611111111123</v>
      </c>
      <c r="J72" s="23" t="str">
        <f>_xlfn.XLOOKUP(G72,'Item Usage'!$B$70:$B$100,'Item Usage'!$D$70:$D$100,"---",0,1)</f>
        <v>---</v>
      </c>
      <c r="K72" s="42" t="s">
        <v>492</v>
      </c>
      <c r="L72" s="27" cm="1">
        <f t="array" ref="L72">IF(D72="---","---", SumHH((D72,O72,R72), I72))</f>
        <v>3.8423611111110909</v>
      </c>
      <c r="M72" s="23" t="str">
        <f>IF($E72="---","---",($E72+$O72+$R72)-$J72)</f>
        <v>---</v>
      </c>
      <c r="N72" s="69" t="str">
        <f>IF($F72="---","---",($F72+$O72+$R72))</f>
        <v>---</v>
      </c>
      <c r="O72" s="27">
        <v>0</v>
      </c>
      <c r="P72" s="42"/>
      <c r="Q72" s="42" t="s">
        <v>101</v>
      </c>
      <c r="R72" s="27">
        <v>8.3333333333333339</v>
      </c>
      <c r="S72" s="63" t="s">
        <v>390</v>
      </c>
      <c r="T72" s="42">
        <v>0</v>
      </c>
      <c r="U72" s="63"/>
      <c r="V72" s="63" t="s">
        <v>391</v>
      </c>
      <c r="W72" s="42" t="s">
        <v>492</v>
      </c>
      <c r="X72" s="63" t="s">
        <v>113</v>
      </c>
      <c r="Y72" s="58">
        <v>3220010</v>
      </c>
      <c r="Z72" s="42" t="s">
        <v>115</v>
      </c>
      <c r="AA72" s="42" t="s">
        <v>327</v>
      </c>
      <c r="AB72" s="27">
        <v>7.5</v>
      </c>
    </row>
    <row r="73" spans="1:28" x14ac:dyDescent="0.25">
      <c r="A73" s="64"/>
      <c r="B73" s="42"/>
      <c r="C73" s="42"/>
      <c r="D73" s="27" t="s">
        <v>297</v>
      </c>
      <c r="E73" s="23" t="s">
        <v>297</v>
      </c>
      <c r="F73" s="25">
        <v>44512</v>
      </c>
      <c r="G73" s="42" t="s">
        <v>79</v>
      </c>
      <c r="H73" s="42" t="s">
        <v>259</v>
      </c>
      <c r="I73" s="27" t="str">
        <f>_xlfn.XLOOKUP(G73,'Item Usage'!$B$59:$B$65,'Item Usage'!$D$59:$D$65,"---",0,1)</f>
        <v>---</v>
      </c>
      <c r="J73" s="23" t="str">
        <f>_xlfn.XLOOKUP(G73,'Item Usage'!$B$70:$B$100,'Item Usage'!$D$70:$D$100,"---",0,1)</f>
        <v>---</v>
      </c>
      <c r="K73" s="42" t="s">
        <v>492</v>
      </c>
      <c r="L73" s="27" t="str" cm="1">
        <f t="array" ref="L73">IF(D73="---","---", SumHH((D73,O73,R73), I73))</f>
        <v>---</v>
      </c>
      <c r="M73" s="23" t="str">
        <f>IF($E73="---","---",($E73+$O73+$R73)-$J73)</f>
        <v>---</v>
      </c>
      <c r="N73" s="69">
        <f>IF($F73="---","---",($F73+$O73+$R73))</f>
        <v>44512</v>
      </c>
      <c r="O73" s="23">
        <v>0</v>
      </c>
      <c r="P73" s="42"/>
      <c r="Q73" s="42" t="s">
        <v>218</v>
      </c>
      <c r="R73" s="23">
        <v>0</v>
      </c>
      <c r="S73" s="63" t="s">
        <v>609</v>
      </c>
      <c r="T73" s="42">
        <v>0</v>
      </c>
      <c r="U73" s="63"/>
      <c r="V73" s="63" t="s">
        <v>610</v>
      </c>
      <c r="W73" s="42">
        <v>42682</v>
      </c>
      <c r="X73" s="63" t="s">
        <v>612</v>
      </c>
      <c r="Y73" s="58" t="s">
        <v>219</v>
      </c>
      <c r="Z73" s="42" t="s">
        <v>613</v>
      </c>
      <c r="AA73" s="42" t="s">
        <v>328</v>
      </c>
      <c r="AB73" s="23">
        <v>0</v>
      </c>
    </row>
    <row r="74" spans="1:28" x14ac:dyDescent="0.25">
      <c r="A74" s="64"/>
      <c r="B74" s="42"/>
      <c r="C74" s="42"/>
      <c r="D74" s="27" t="s">
        <v>297</v>
      </c>
      <c r="E74" s="23" t="s">
        <v>297</v>
      </c>
      <c r="F74" s="25">
        <v>43790</v>
      </c>
      <c r="G74" s="42" t="s">
        <v>79</v>
      </c>
      <c r="H74" s="42" t="s">
        <v>259</v>
      </c>
      <c r="I74" s="27" t="str">
        <f>_xlfn.XLOOKUP(G74,'Item Usage'!$B$59:$B$65,'Item Usage'!$D$59:$D$65,"---",0,1)</f>
        <v>---</v>
      </c>
      <c r="J74" s="23" t="str">
        <f>_xlfn.XLOOKUP(G74,'Item Usage'!$B$70:$B$100,'Item Usage'!$D$70:$D$100,"---",0,1)</f>
        <v>---</v>
      </c>
      <c r="K74" s="42" t="s">
        <v>492</v>
      </c>
      <c r="L74" s="27" t="str" cm="1">
        <f t="array" ref="L74">IF(D74="---","---", SumHH((D74,O74,R74), I74))</f>
        <v>---</v>
      </c>
      <c r="M74" s="23" t="str">
        <f>IF($E74="---","---",($E74+$O74+$R74)-$J74)</f>
        <v>---</v>
      </c>
      <c r="N74" s="69">
        <f>IF($F74="---","---",($F74+$O74+$R74))</f>
        <v>44518</v>
      </c>
      <c r="O74" s="23">
        <v>0</v>
      </c>
      <c r="P74" s="42"/>
      <c r="Q74" s="42" t="s">
        <v>101</v>
      </c>
      <c r="R74" s="23">
        <v>728</v>
      </c>
      <c r="S74" s="63" t="s">
        <v>618</v>
      </c>
      <c r="T74" s="42">
        <v>0</v>
      </c>
      <c r="U74" s="63"/>
      <c r="V74" s="63" t="s">
        <v>619</v>
      </c>
      <c r="W74" s="42" t="s">
        <v>492</v>
      </c>
      <c r="X74" s="63" t="s">
        <v>113</v>
      </c>
      <c r="Y74" s="58">
        <v>2400001</v>
      </c>
      <c r="Z74" s="42" t="s">
        <v>115</v>
      </c>
      <c r="AA74" s="42" t="s">
        <v>327</v>
      </c>
      <c r="AB74" s="23">
        <v>700</v>
      </c>
    </row>
    <row r="75" spans="1:28" x14ac:dyDescent="0.25">
      <c r="A75" s="64"/>
      <c r="B75" s="42"/>
      <c r="C75" s="42"/>
      <c r="D75" s="27" t="s">
        <v>297</v>
      </c>
      <c r="E75" s="23" t="s">
        <v>297</v>
      </c>
      <c r="F75" s="25">
        <v>44492</v>
      </c>
      <c r="G75" s="42" t="s">
        <v>79</v>
      </c>
      <c r="H75" s="42" t="s">
        <v>259</v>
      </c>
      <c r="I75" s="27" t="str">
        <f>_xlfn.XLOOKUP(G75,'Item Usage'!$B$59:$B$65,'Item Usage'!$D$59:$D$65,"---",0,1)</f>
        <v>---</v>
      </c>
      <c r="J75" s="23" t="str">
        <f>_xlfn.XLOOKUP(G75,'Item Usage'!$B$70:$B$100,'Item Usage'!$D$70:$D$100,"---",0,1)</f>
        <v>---</v>
      </c>
      <c r="K75" s="42" t="s">
        <v>492</v>
      </c>
      <c r="L75" s="27" t="str" cm="1">
        <f t="array" ref="L75">IF(D75="---","---", SumHH((D75,O75,R75), I75))</f>
        <v>---</v>
      </c>
      <c r="M75" s="23" t="str">
        <f>IF($E75="---","---",($E75+$O75+$R75)-$J75)</f>
        <v>---</v>
      </c>
      <c r="N75" s="69">
        <f>IF($F75="---","---",($F75+$O75+$R75))</f>
        <v>44522</v>
      </c>
      <c r="O75" s="23">
        <v>0</v>
      </c>
      <c r="P75" s="42"/>
      <c r="Q75" s="42" t="s">
        <v>101</v>
      </c>
      <c r="R75" s="23">
        <v>30</v>
      </c>
      <c r="S75" s="63" t="s">
        <v>270</v>
      </c>
      <c r="T75" s="42">
        <v>0</v>
      </c>
      <c r="U75" s="63"/>
      <c r="V75" s="63" t="s">
        <v>271</v>
      </c>
      <c r="W75" s="42" t="s">
        <v>492</v>
      </c>
      <c r="X75" s="63" t="s">
        <v>113</v>
      </c>
      <c r="Y75" s="58" t="s">
        <v>272</v>
      </c>
      <c r="Z75" s="42" t="s">
        <v>115</v>
      </c>
      <c r="AA75" s="42" t="s">
        <v>327</v>
      </c>
      <c r="AB75" s="23">
        <v>25</v>
      </c>
    </row>
    <row r="76" spans="1:28" x14ac:dyDescent="0.25">
      <c r="A76" s="64"/>
      <c r="B76" s="42"/>
      <c r="C76" s="42"/>
      <c r="D76" s="27" t="s">
        <v>297</v>
      </c>
      <c r="E76" s="23" t="s">
        <v>297</v>
      </c>
      <c r="F76" s="25">
        <v>44492</v>
      </c>
      <c r="G76" s="42" t="s">
        <v>79</v>
      </c>
      <c r="H76" s="42" t="s">
        <v>259</v>
      </c>
      <c r="I76" s="27" t="str">
        <f>_xlfn.XLOOKUP(G76,'Item Usage'!$B$59:$B$65,'Item Usage'!$D$59:$D$65,"---",0,1)</f>
        <v>---</v>
      </c>
      <c r="J76" s="23" t="str">
        <f>_xlfn.XLOOKUP(G76,'Item Usage'!$B$70:$B$100,'Item Usage'!$D$70:$D$100,"---",0,1)</f>
        <v>---</v>
      </c>
      <c r="K76" s="42" t="s">
        <v>492</v>
      </c>
      <c r="L76" s="27" t="str" cm="1">
        <f t="array" ref="L76">IF(D76="---","---", SumHH((D76,O76,R76), I76))</f>
        <v>---</v>
      </c>
      <c r="M76" s="23" t="str">
        <f>IF($E76="---","---",($E76+$O76+$R76)-$J76)</f>
        <v>---</v>
      </c>
      <c r="N76" s="69">
        <f>IF($F76="---","---",($F76+$O76+$R76))</f>
        <v>44522</v>
      </c>
      <c r="O76" s="23">
        <v>0</v>
      </c>
      <c r="P76" s="42"/>
      <c r="Q76" s="42" t="s">
        <v>101</v>
      </c>
      <c r="R76" s="23">
        <v>30</v>
      </c>
      <c r="S76" s="63" t="s">
        <v>261</v>
      </c>
      <c r="T76" s="42">
        <v>0</v>
      </c>
      <c r="U76" s="63"/>
      <c r="V76" s="63" t="s">
        <v>262</v>
      </c>
      <c r="W76" s="42" t="s">
        <v>492</v>
      </c>
      <c r="X76" s="63" t="s">
        <v>113</v>
      </c>
      <c r="Y76" s="58">
        <v>4622001</v>
      </c>
      <c r="Z76" s="42" t="s">
        <v>115</v>
      </c>
      <c r="AA76" s="42" t="s">
        <v>327</v>
      </c>
      <c r="AB76" s="23">
        <v>27</v>
      </c>
    </row>
    <row r="77" spans="1:28" x14ac:dyDescent="0.25">
      <c r="A77" s="64"/>
      <c r="B77" s="42"/>
      <c r="C77" s="42"/>
      <c r="D77" s="27" t="s">
        <v>297</v>
      </c>
      <c r="E77" s="23" t="s">
        <v>297</v>
      </c>
      <c r="F77" s="25">
        <v>44492</v>
      </c>
      <c r="G77" s="42" t="s">
        <v>79</v>
      </c>
      <c r="H77" s="42" t="s">
        <v>259</v>
      </c>
      <c r="I77" s="27" t="str">
        <f>_xlfn.XLOOKUP(G77,'Item Usage'!$B$59:$B$65,'Item Usage'!$D$59:$D$65,"---",0,1)</f>
        <v>---</v>
      </c>
      <c r="J77" s="23" t="str">
        <f>_xlfn.XLOOKUP(G77,'Item Usage'!$B$70:$B$100,'Item Usage'!$D$70:$D$100,"---",0,1)</f>
        <v>---</v>
      </c>
      <c r="K77" s="42" t="s">
        <v>492</v>
      </c>
      <c r="L77" s="27" t="str" cm="1">
        <f t="array" ref="L77">IF(D77="---","---", SumHH((D77,O77,R77), I77))</f>
        <v>---</v>
      </c>
      <c r="M77" s="23" t="str">
        <f>IF($E77="---","---",($E77+$O77+$R77)-$J77)</f>
        <v>---</v>
      </c>
      <c r="N77" s="69">
        <f>IF($F77="---","---",($F77+$O77+$R77))</f>
        <v>44522</v>
      </c>
      <c r="O77" s="23">
        <v>0</v>
      </c>
      <c r="P77" s="42"/>
      <c r="Q77" s="42" t="s">
        <v>101</v>
      </c>
      <c r="R77" s="23">
        <v>30</v>
      </c>
      <c r="S77" s="63" t="s">
        <v>265</v>
      </c>
      <c r="T77" s="42">
        <v>0</v>
      </c>
      <c r="U77" s="63"/>
      <c r="V77" s="63" t="s">
        <v>266</v>
      </c>
      <c r="W77" s="42" t="s">
        <v>492</v>
      </c>
      <c r="X77" s="63" t="s">
        <v>113</v>
      </c>
      <c r="Y77" s="58" t="s">
        <v>265</v>
      </c>
      <c r="Z77" s="42" t="s">
        <v>115</v>
      </c>
      <c r="AA77" s="42" t="s">
        <v>327</v>
      </c>
      <c r="AB77" s="23">
        <v>28</v>
      </c>
    </row>
    <row r="78" spans="1:28" x14ac:dyDescent="0.25">
      <c r="A78" s="64"/>
      <c r="B78" s="42"/>
      <c r="C78" s="42"/>
      <c r="D78" s="27" t="s">
        <v>297</v>
      </c>
      <c r="E78" s="23" t="s">
        <v>297</v>
      </c>
      <c r="F78" s="25">
        <v>44160</v>
      </c>
      <c r="G78" s="42" t="s">
        <v>79</v>
      </c>
      <c r="H78" s="42" t="s">
        <v>259</v>
      </c>
      <c r="I78" s="27" t="str">
        <f>_xlfn.XLOOKUP(G78,'Item Usage'!$B$59:$B$65,'Item Usage'!$D$59:$D$65,"---",0,1)</f>
        <v>---</v>
      </c>
      <c r="J78" s="23" t="str">
        <f>_xlfn.XLOOKUP(G78,'Item Usage'!$B$70:$B$100,'Item Usage'!$D$70:$D$100,"---",0,1)</f>
        <v>---</v>
      </c>
      <c r="K78" s="42" t="s">
        <v>492</v>
      </c>
      <c r="L78" s="27" t="str" cm="1">
        <f t="array" ref="L78">IF(D78="---","---", SumHH((D78,O78,R78), I78))</f>
        <v>---</v>
      </c>
      <c r="M78" s="23" t="str">
        <f>IF($E78="---","---",($E78+$O78+$R78)-$J78)</f>
        <v>---</v>
      </c>
      <c r="N78" s="69">
        <f>IF($F78="---","---",($F78+$O78+$R78))</f>
        <v>44524</v>
      </c>
      <c r="O78" s="23">
        <v>0</v>
      </c>
      <c r="P78" s="42"/>
      <c r="Q78" s="42" t="s">
        <v>101</v>
      </c>
      <c r="R78" s="23">
        <v>364</v>
      </c>
      <c r="S78" s="63" t="s">
        <v>622</v>
      </c>
      <c r="T78" s="42">
        <v>0</v>
      </c>
      <c r="U78" s="63"/>
      <c r="V78" s="63" t="s">
        <v>623</v>
      </c>
      <c r="W78" s="42" t="s">
        <v>492</v>
      </c>
      <c r="X78" s="63" t="s">
        <v>113</v>
      </c>
      <c r="Y78" s="58">
        <v>2161001</v>
      </c>
      <c r="Z78" s="42" t="s">
        <v>115</v>
      </c>
      <c r="AA78" s="42" t="s">
        <v>327</v>
      </c>
      <c r="AB78" s="23">
        <v>334</v>
      </c>
    </row>
    <row r="79" spans="1:28" x14ac:dyDescent="0.25">
      <c r="A79" s="64"/>
      <c r="B79" s="42"/>
      <c r="C79" s="42"/>
      <c r="D79" s="27" t="s">
        <v>297</v>
      </c>
      <c r="E79" s="23" t="s">
        <v>297</v>
      </c>
      <c r="F79" s="25">
        <v>44160</v>
      </c>
      <c r="G79" s="42" t="s">
        <v>79</v>
      </c>
      <c r="H79" s="42" t="s">
        <v>259</v>
      </c>
      <c r="I79" s="27" t="str">
        <f>_xlfn.XLOOKUP(G79,'Item Usage'!$B$59:$B$65,'Item Usage'!$D$59:$D$65,"---",0,1)</f>
        <v>---</v>
      </c>
      <c r="J79" s="23" t="str">
        <f>_xlfn.XLOOKUP(G79,'Item Usage'!$B$70:$B$100,'Item Usage'!$D$70:$D$100,"---",0,1)</f>
        <v>---</v>
      </c>
      <c r="K79" s="42" t="s">
        <v>492</v>
      </c>
      <c r="L79" s="27" t="str" cm="1">
        <f t="array" ref="L79">IF(D79="---","---", SumHH((D79,O79,R79), I79))</f>
        <v>---</v>
      </c>
      <c r="M79" s="23" t="str">
        <f>IF($E79="---","---",($E79+$O79+$R79)-$J79)</f>
        <v>---</v>
      </c>
      <c r="N79" s="69">
        <f>IF($F79="---","---",($F79+$O79+$R79))</f>
        <v>44524</v>
      </c>
      <c r="O79" s="23">
        <v>0</v>
      </c>
      <c r="P79" s="42"/>
      <c r="Q79" s="42" t="s">
        <v>101</v>
      </c>
      <c r="R79" s="23">
        <v>364</v>
      </c>
      <c r="S79" s="63" t="s">
        <v>625</v>
      </c>
      <c r="T79" s="42">
        <v>0</v>
      </c>
      <c r="U79" s="63"/>
      <c r="V79" s="63" t="s">
        <v>626</v>
      </c>
      <c r="W79" s="42" t="s">
        <v>492</v>
      </c>
      <c r="X79" s="63" t="s">
        <v>113</v>
      </c>
      <c r="Y79" s="58">
        <v>6320009</v>
      </c>
      <c r="Z79" s="42" t="s">
        <v>115</v>
      </c>
      <c r="AA79" s="42" t="s">
        <v>327</v>
      </c>
      <c r="AB79" s="23">
        <v>334</v>
      </c>
    </row>
    <row r="80" spans="1:28" x14ac:dyDescent="0.25">
      <c r="A80" s="64"/>
      <c r="B80" s="42"/>
      <c r="C80" s="42"/>
      <c r="D80" s="27" t="s">
        <v>297</v>
      </c>
      <c r="E80" s="23" t="s">
        <v>297</v>
      </c>
      <c r="F80" s="25">
        <v>44435</v>
      </c>
      <c r="G80" s="42" t="s">
        <v>79</v>
      </c>
      <c r="H80" s="42" t="s">
        <v>259</v>
      </c>
      <c r="I80" s="27" t="str">
        <f>_xlfn.XLOOKUP(G80,'Item Usage'!$B$59:$B$65,'Item Usage'!$D$59:$D$65,"---",0,1)</f>
        <v>---</v>
      </c>
      <c r="J80" s="23" t="str">
        <f>_xlfn.XLOOKUP(G80,'Item Usage'!$B$70:$B$100,'Item Usage'!$D$70:$D$100,"---",0,1)</f>
        <v>---</v>
      </c>
      <c r="K80" s="42" t="s">
        <v>492</v>
      </c>
      <c r="L80" s="27" t="str" cm="1">
        <f t="array" ref="L80">IF(D80="---","---", SumHH((D80,O80,R80), I80))</f>
        <v>---</v>
      </c>
      <c r="M80" s="23" t="str">
        <f>IF($E80="---","---",($E80+$O80+$R80)-$J80)</f>
        <v>---</v>
      </c>
      <c r="N80" s="69">
        <f>IF($F80="---","---",($F80+$O80+$R80))</f>
        <v>44526</v>
      </c>
      <c r="O80" s="23">
        <v>0</v>
      </c>
      <c r="P80" s="42"/>
      <c r="Q80" s="42" t="s">
        <v>101</v>
      </c>
      <c r="R80" s="23">
        <v>91</v>
      </c>
      <c r="S80" s="63" t="s">
        <v>296</v>
      </c>
      <c r="T80" s="42">
        <v>0</v>
      </c>
      <c r="U80" s="63"/>
      <c r="V80" s="63" t="s">
        <v>242</v>
      </c>
      <c r="W80" s="42" t="s">
        <v>492</v>
      </c>
      <c r="X80" s="63" t="s">
        <v>113</v>
      </c>
      <c r="Y80" s="58">
        <v>6210004</v>
      </c>
      <c r="Z80" s="42" t="s">
        <v>115</v>
      </c>
      <c r="AA80" s="42" t="s">
        <v>327</v>
      </c>
      <c r="AB80" s="23">
        <v>82</v>
      </c>
    </row>
    <row r="81" spans="1:28" x14ac:dyDescent="0.25">
      <c r="A81" s="64"/>
      <c r="B81" s="42"/>
      <c r="C81" s="42"/>
      <c r="D81" s="27" t="s">
        <v>297</v>
      </c>
      <c r="E81" s="23" t="s">
        <v>297</v>
      </c>
      <c r="F81" s="25" t="s">
        <v>341</v>
      </c>
      <c r="G81" s="42" t="s">
        <v>79</v>
      </c>
      <c r="H81" s="42" t="s">
        <v>259</v>
      </c>
      <c r="I81" s="27" t="str">
        <f>_xlfn.XLOOKUP(G81,'Item Usage'!$B$59:$B$65,'Item Usage'!$D$59:$D$65,"---",0,1)</f>
        <v>---</v>
      </c>
      <c r="J81" s="23" t="str">
        <f>_xlfn.XLOOKUP(G81,'Item Usage'!$B$70:$B$100,'Item Usage'!$D$70:$D$100,"---",0,1)</f>
        <v>---</v>
      </c>
      <c r="K81" s="42" t="s">
        <v>492</v>
      </c>
      <c r="L81" s="27" t="str" cm="1">
        <f t="array" ref="L81">IF(D81="---","---", SumHH((D81,O81,R81), I81))</f>
        <v>---</v>
      </c>
      <c r="M81" s="23" t="str">
        <f>IF($E81="---","---",($E81+$O81+$R81)-$J81)</f>
        <v>---</v>
      </c>
      <c r="N81" s="69">
        <f>IF($F81="---","---",($F81+$O81+$R81))</f>
        <v>44529</v>
      </c>
      <c r="O81" s="23">
        <v>0</v>
      </c>
      <c r="P81" s="42"/>
      <c r="Q81" s="42" t="s">
        <v>274</v>
      </c>
      <c r="R81" s="23">
        <v>0</v>
      </c>
      <c r="S81" s="63" t="s">
        <v>274</v>
      </c>
      <c r="T81" s="42">
        <v>162</v>
      </c>
      <c r="U81" s="63" t="s">
        <v>629</v>
      </c>
      <c r="V81" s="63" t="s">
        <v>628</v>
      </c>
      <c r="W81" s="42" t="s">
        <v>492</v>
      </c>
      <c r="X81" s="63" t="s">
        <v>113</v>
      </c>
      <c r="Y81" s="58" t="s">
        <v>274</v>
      </c>
      <c r="Z81" s="42" t="s">
        <v>115</v>
      </c>
      <c r="AA81" s="42" t="s">
        <v>327</v>
      </c>
      <c r="AB81" s="23">
        <v>60</v>
      </c>
    </row>
    <row r="82" spans="1:28" x14ac:dyDescent="0.25">
      <c r="A82" s="64"/>
      <c r="B82" s="42"/>
      <c r="C82" s="42"/>
      <c r="D82" s="27" t="s">
        <v>297</v>
      </c>
      <c r="E82" s="23" t="s">
        <v>297</v>
      </c>
      <c r="F82" s="25">
        <v>44441</v>
      </c>
      <c r="G82" s="42" t="s">
        <v>79</v>
      </c>
      <c r="H82" s="42" t="s">
        <v>259</v>
      </c>
      <c r="I82" s="27" t="str">
        <f>_xlfn.XLOOKUP(G82,'Item Usage'!$B$59:$B$65,'Item Usage'!$D$59:$D$65,"---",0,1)</f>
        <v>---</v>
      </c>
      <c r="J82" s="23" t="str">
        <f>_xlfn.XLOOKUP(G82,'Item Usage'!$B$70:$B$100,'Item Usage'!$D$70:$D$100,"---",0,1)</f>
        <v>---</v>
      </c>
      <c r="K82" s="42" t="s">
        <v>492</v>
      </c>
      <c r="L82" s="27" t="str" cm="1">
        <f t="array" ref="L82">IF(D82="---","---", SumHH((D82,O82,R82), I82))</f>
        <v>---</v>
      </c>
      <c r="M82" s="23" t="str">
        <f>IF($E82="---","---",($E82+$O82+$R82)-$J82)</f>
        <v>---</v>
      </c>
      <c r="N82" s="69">
        <f>IF($F82="---","---",($F82+$O82+$R82))</f>
        <v>44531</v>
      </c>
      <c r="O82" s="23">
        <v>0</v>
      </c>
      <c r="P82" s="42"/>
      <c r="Q82" s="42" t="s">
        <v>101</v>
      </c>
      <c r="R82" s="23">
        <v>90</v>
      </c>
      <c r="S82" s="63" t="s">
        <v>291</v>
      </c>
      <c r="T82" s="42">
        <v>0</v>
      </c>
      <c r="U82" s="63"/>
      <c r="V82" s="63" t="s">
        <v>292</v>
      </c>
      <c r="W82" s="42" t="s">
        <v>495</v>
      </c>
      <c r="X82" s="63" t="s">
        <v>105</v>
      </c>
      <c r="Y82" s="58">
        <v>7200004</v>
      </c>
      <c r="Z82" s="42">
        <v>64643</v>
      </c>
      <c r="AA82" s="42" t="s">
        <v>326</v>
      </c>
      <c r="AB82" s="23">
        <v>80</v>
      </c>
    </row>
    <row r="83" spans="1:28" x14ac:dyDescent="0.25">
      <c r="A83" s="64"/>
      <c r="B83" s="42"/>
      <c r="C83" s="42"/>
      <c r="D83" s="27" t="s">
        <v>297</v>
      </c>
      <c r="E83" s="23" t="s">
        <v>297</v>
      </c>
      <c r="F83" s="25">
        <v>44441</v>
      </c>
      <c r="G83" s="42" t="s">
        <v>79</v>
      </c>
      <c r="H83" s="42" t="s">
        <v>259</v>
      </c>
      <c r="I83" s="27" t="str">
        <f>_xlfn.XLOOKUP(G83,'Item Usage'!$B$59:$B$65,'Item Usage'!$D$59:$D$65,"---",0,1)</f>
        <v>---</v>
      </c>
      <c r="J83" s="23" t="str">
        <f>_xlfn.XLOOKUP(G83,'Item Usage'!$B$70:$B$100,'Item Usage'!$D$70:$D$100,"---",0,1)</f>
        <v>---</v>
      </c>
      <c r="K83" s="42" t="s">
        <v>492</v>
      </c>
      <c r="L83" s="27" t="str" cm="1">
        <f t="array" ref="L83">IF(D83="---","---", SumHH((D83,O83,R83), I83))</f>
        <v>---</v>
      </c>
      <c r="M83" s="23" t="str">
        <f>IF($E83="---","---",($E83+$O83+$R83)-$J83)</f>
        <v>---</v>
      </c>
      <c r="N83" s="69">
        <f>IF($F83="---","---",($F83+$O83+$R83))</f>
        <v>44531</v>
      </c>
      <c r="O83" s="23">
        <v>0</v>
      </c>
      <c r="P83" s="42"/>
      <c r="Q83" s="42" t="s">
        <v>101</v>
      </c>
      <c r="R83" s="23">
        <v>90</v>
      </c>
      <c r="S83" s="63" t="s">
        <v>291</v>
      </c>
      <c r="T83" s="42">
        <v>0</v>
      </c>
      <c r="U83" s="63"/>
      <c r="V83" s="63" t="s">
        <v>292</v>
      </c>
      <c r="W83" s="42" t="s">
        <v>505</v>
      </c>
      <c r="X83" s="63" t="s">
        <v>105</v>
      </c>
      <c r="Y83" s="58">
        <v>7200004</v>
      </c>
      <c r="Z83" s="42">
        <v>64643</v>
      </c>
      <c r="AA83" s="42" t="s">
        <v>326</v>
      </c>
      <c r="AB83" s="23">
        <v>80</v>
      </c>
    </row>
    <row r="84" spans="1:28" x14ac:dyDescent="0.25">
      <c r="A84" s="64"/>
      <c r="B84" s="42"/>
      <c r="C84" s="42"/>
      <c r="D84" s="27" t="s">
        <v>297</v>
      </c>
      <c r="E84" s="23" t="s">
        <v>297</v>
      </c>
      <c r="F84" s="25">
        <v>44441</v>
      </c>
      <c r="G84" s="42" t="s">
        <v>79</v>
      </c>
      <c r="H84" s="42" t="s">
        <v>259</v>
      </c>
      <c r="I84" s="27" t="str">
        <f>_xlfn.XLOOKUP(G84,'Item Usage'!$B$59:$B$65,'Item Usage'!$D$59:$D$65,"---",0,1)</f>
        <v>---</v>
      </c>
      <c r="J84" s="23" t="str">
        <f>_xlfn.XLOOKUP(G84,'Item Usage'!$B$70:$B$100,'Item Usage'!$D$70:$D$100,"---",0,1)</f>
        <v>---</v>
      </c>
      <c r="K84" s="42" t="s">
        <v>492</v>
      </c>
      <c r="L84" s="27" t="str" cm="1">
        <f t="array" ref="L84">IF(D84="---","---", SumHH((D84,O84,R84), I84))</f>
        <v>---</v>
      </c>
      <c r="M84" s="23" t="str">
        <f>IF($E84="---","---",($E84+$O84+$R84)-$J84)</f>
        <v>---</v>
      </c>
      <c r="N84" s="69">
        <f>IF($F84="---","---",($F84+$O84+$R84))</f>
        <v>44531</v>
      </c>
      <c r="O84" s="23">
        <v>0</v>
      </c>
      <c r="P84" s="42"/>
      <c r="Q84" s="42" t="s">
        <v>101</v>
      </c>
      <c r="R84" s="23">
        <v>90</v>
      </c>
      <c r="S84" s="63" t="s">
        <v>277</v>
      </c>
      <c r="T84" s="42">
        <v>0</v>
      </c>
      <c r="U84" s="63"/>
      <c r="V84" s="63" t="s">
        <v>278</v>
      </c>
      <c r="W84" s="42" t="s">
        <v>538</v>
      </c>
      <c r="X84" s="63" t="s">
        <v>193</v>
      </c>
      <c r="Y84" s="58" t="s">
        <v>279</v>
      </c>
      <c r="Z84" s="42" t="s">
        <v>195</v>
      </c>
      <c r="AA84" s="42" t="s">
        <v>328</v>
      </c>
      <c r="AB84" s="23">
        <v>81</v>
      </c>
    </row>
    <row r="85" spans="1:28" x14ac:dyDescent="0.25">
      <c r="A85" s="64"/>
      <c r="B85" s="42"/>
      <c r="C85" s="42"/>
      <c r="D85" s="27" t="s">
        <v>297</v>
      </c>
      <c r="E85" s="23" t="s">
        <v>297</v>
      </c>
      <c r="F85" s="25">
        <v>44441</v>
      </c>
      <c r="G85" s="42" t="s">
        <v>79</v>
      </c>
      <c r="H85" s="42" t="s">
        <v>259</v>
      </c>
      <c r="I85" s="27" t="str">
        <f>_xlfn.XLOOKUP(G85,'Item Usage'!$B$59:$B$65,'Item Usage'!$D$59:$D$65,"---",0,1)</f>
        <v>---</v>
      </c>
      <c r="J85" s="23" t="str">
        <f>_xlfn.XLOOKUP(G85,'Item Usage'!$B$70:$B$100,'Item Usage'!$D$70:$D$100,"---",0,1)</f>
        <v>---</v>
      </c>
      <c r="K85" s="42" t="s">
        <v>492</v>
      </c>
      <c r="L85" s="27" t="str" cm="1">
        <f t="array" ref="L85">IF(D85="---","---", SumHH((D85,O85,R85), I85))</f>
        <v>---</v>
      </c>
      <c r="M85" s="23" t="str">
        <f>IF($E85="---","---",($E85+$O85+$R85)-$J85)</f>
        <v>---</v>
      </c>
      <c r="N85" s="69">
        <f>IF($F85="---","---",($F85+$O85+$R85))</f>
        <v>44532</v>
      </c>
      <c r="O85" s="23">
        <v>0</v>
      </c>
      <c r="P85" s="42"/>
      <c r="Q85" s="42" t="s">
        <v>101</v>
      </c>
      <c r="R85" s="23">
        <v>91</v>
      </c>
      <c r="S85" s="63" t="s">
        <v>295</v>
      </c>
      <c r="T85" s="42">
        <v>0</v>
      </c>
      <c r="U85" s="63"/>
      <c r="V85" s="63" t="s">
        <v>240</v>
      </c>
      <c r="W85" s="42" t="s">
        <v>492</v>
      </c>
      <c r="X85" s="63" t="s">
        <v>113</v>
      </c>
      <c r="Y85" s="58">
        <v>3040004</v>
      </c>
      <c r="Z85" s="42" t="s">
        <v>115</v>
      </c>
      <c r="AA85" s="42" t="s">
        <v>327</v>
      </c>
      <c r="AB85" s="23">
        <v>82</v>
      </c>
    </row>
    <row r="86" spans="1:28" x14ac:dyDescent="0.25">
      <c r="A86" s="64"/>
      <c r="B86" s="42"/>
      <c r="C86" s="42"/>
      <c r="D86" s="27" t="s">
        <v>297</v>
      </c>
      <c r="E86" s="23" t="s">
        <v>297</v>
      </c>
      <c r="F86" s="25" t="s">
        <v>342</v>
      </c>
      <c r="G86" s="42" t="s">
        <v>79</v>
      </c>
      <c r="H86" s="42" t="s">
        <v>259</v>
      </c>
      <c r="I86" s="27" t="str">
        <f>_xlfn.XLOOKUP(G86,'Item Usage'!$B$59:$B$65,'Item Usage'!$D$59:$D$65,"---",0,1)</f>
        <v>---</v>
      </c>
      <c r="J86" s="23" t="str">
        <f>_xlfn.XLOOKUP(G86,'Item Usage'!$B$70:$B$100,'Item Usage'!$D$70:$D$100,"---",0,1)</f>
        <v>---</v>
      </c>
      <c r="K86" s="42" t="s">
        <v>492</v>
      </c>
      <c r="L86" s="27" t="str" cm="1">
        <f t="array" ref="L86">IF(D86="---","---", SumHH((D86,O86,R86), I86))</f>
        <v>---</v>
      </c>
      <c r="M86" s="23" t="str">
        <f>IF($E86="---","---",($E86+$O86+$R86)-$J86)</f>
        <v>---</v>
      </c>
      <c r="N86" s="69">
        <f>IF($F86="---","---",($F86+$O86+$R86))</f>
        <v>44534</v>
      </c>
      <c r="O86" s="23">
        <v>0</v>
      </c>
      <c r="P86" s="42"/>
      <c r="Q86" s="42" t="s">
        <v>274</v>
      </c>
      <c r="R86" s="23">
        <v>0</v>
      </c>
      <c r="S86" s="63" t="s">
        <v>274</v>
      </c>
      <c r="T86" s="42">
        <v>193</v>
      </c>
      <c r="U86" s="63" t="s">
        <v>634</v>
      </c>
      <c r="V86" s="63" t="s">
        <v>633</v>
      </c>
      <c r="W86" s="42" t="s">
        <v>492</v>
      </c>
      <c r="X86" s="63" t="s">
        <v>113</v>
      </c>
      <c r="Y86" s="58" t="s">
        <v>274</v>
      </c>
      <c r="Z86" s="42" t="s">
        <v>115</v>
      </c>
      <c r="AA86" s="42" t="s">
        <v>327</v>
      </c>
      <c r="AB86" s="23">
        <v>34</v>
      </c>
    </row>
    <row r="87" spans="1:28" x14ac:dyDescent="0.25">
      <c r="A87" s="64"/>
      <c r="B87" s="42"/>
      <c r="C87" s="42"/>
      <c r="D87" s="27" t="s">
        <v>297</v>
      </c>
      <c r="E87" s="23" t="s">
        <v>297</v>
      </c>
      <c r="F87" s="25" t="s">
        <v>342</v>
      </c>
      <c r="G87" s="42" t="s">
        <v>79</v>
      </c>
      <c r="H87" s="42" t="s">
        <v>259</v>
      </c>
      <c r="I87" s="27" t="str">
        <f>_xlfn.XLOOKUP(G87,'Item Usage'!$B$59:$B$65,'Item Usage'!$D$59:$D$65,"---",0,1)</f>
        <v>---</v>
      </c>
      <c r="J87" s="23" t="str">
        <f>_xlfn.XLOOKUP(G87,'Item Usage'!$B$70:$B$100,'Item Usage'!$D$70:$D$100,"---",0,1)</f>
        <v>---</v>
      </c>
      <c r="K87" s="42" t="s">
        <v>492</v>
      </c>
      <c r="L87" s="27" t="str" cm="1">
        <f t="array" ref="L87">IF(D87="---","---", SumHH((D87,O87,R87), I87))</f>
        <v>---</v>
      </c>
      <c r="M87" s="23" t="str">
        <f>IF($E87="---","---",($E87+$O87+$R87)-$J87)</f>
        <v>---</v>
      </c>
      <c r="N87" s="69">
        <f>IF($F87="---","---",($F87+$O87+$R87))</f>
        <v>44534</v>
      </c>
      <c r="O87" s="23">
        <v>0</v>
      </c>
      <c r="P87" s="42"/>
      <c r="Q87" s="42" t="s">
        <v>274</v>
      </c>
      <c r="R87" s="23">
        <v>0</v>
      </c>
      <c r="S87" s="63" t="s">
        <v>274</v>
      </c>
      <c r="T87" s="42">
        <v>194</v>
      </c>
      <c r="U87" s="63"/>
      <c r="V87" s="63" t="s">
        <v>637</v>
      </c>
      <c r="W87" s="42" t="s">
        <v>492</v>
      </c>
      <c r="X87" s="63" t="s">
        <v>113</v>
      </c>
      <c r="Y87" s="58" t="s">
        <v>274</v>
      </c>
      <c r="Z87" s="42" t="s">
        <v>115</v>
      </c>
      <c r="AA87" s="42" t="s">
        <v>327</v>
      </c>
      <c r="AB87" s="23">
        <v>33</v>
      </c>
    </row>
    <row r="88" spans="1:28" x14ac:dyDescent="0.25">
      <c r="A88" s="64"/>
      <c r="B88" s="42"/>
      <c r="C88" s="42"/>
      <c r="D88" s="27" t="s">
        <v>297</v>
      </c>
      <c r="E88" s="23" t="s">
        <v>297</v>
      </c>
      <c r="F88" s="25" t="s">
        <v>342</v>
      </c>
      <c r="G88" s="42" t="s">
        <v>79</v>
      </c>
      <c r="H88" s="42" t="s">
        <v>259</v>
      </c>
      <c r="I88" s="27" t="str">
        <f>_xlfn.XLOOKUP(G88,'Item Usage'!$B$59:$B$65,'Item Usage'!$D$59:$D$65,"---",0,1)</f>
        <v>---</v>
      </c>
      <c r="J88" s="23" t="str">
        <f>_xlfn.XLOOKUP(G88,'Item Usage'!$B$70:$B$100,'Item Usage'!$D$70:$D$100,"---",0,1)</f>
        <v>---</v>
      </c>
      <c r="K88" s="42" t="s">
        <v>492</v>
      </c>
      <c r="L88" s="27" t="str" cm="1">
        <f t="array" ref="L88">IF(D88="---","---", SumHH((D88,O88,R88), I88))</f>
        <v>---</v>
      </c>
      <c r="M88" s="23" t="str">
        <f>IF($E88="---","---",($E88+$O88+$R88)-$J88)</f>
        <v>---</v>
      </c>
      <c r="N88" s="69">
        <f>IF($F88="---","---",($F88+$O88+$R88))</f>
        <v>44534</v>
      </c>
      <c r="O88" s="23">
        <v>0</v>
      </c>
      <c r="P88" s="42"/>
      <c r="Q88" s="42" t="s">
        <v>274</v>
      </c>
      <c r="R88" s="23">
        <v>0</v>
      </c>
      <c r="S88" s="63" t="s">
        <v>274</v>
      </c>
      <c r="T88" s="42">
        <v>195</v>
      </c>
      <c r="U88" s="63" t="s">
        <v>640</v>
      </c>
      <c r="V88" s="63" t="s">
        <v>639</v>
      </c>
      <c r="W88" s="42" t="s">
        <v>492</v>
      </c>
      <c r="X88" s="63" t="s">
        <v>113</v>
      </c>
      <c r="Y88" s="58" t="s">
        <v>274</v>
      </c>
      <c r="Z88" s="42" t="s">
        <v>115</v>
      </c>
      <c r="AA88" s="42" t="s">
        <v>327</v>
      </c>
      <c r="AB88" s="23">
        <v>35</v>
      </c>
    </row>
    <row r="89" spans="1:28" x14ac:dyDescent="0.25">
      <c r="A89" s="64"/>
      <c r="B89" s="42"/>
      <c r="C89" s="42"/>
      <c r="D89" s="27" t="s">
        <v>297</v>
      </c>
      <c r="E89" s="23" t="s">
        <v>297</v>
      </c>
      <c r="F89" s="25">
        <v>42710</v>
      </c>
      <c r="G89" s="42" t="s">
        <v>79</v>
      </c>
      <c r="H89" s="42" t="s">
        <v>259</v>
      </c>
      <c r="I89" s="27" t="str">
        <f>_xlfn.XLOOKUP(G89,'Item Usage'!$B$59:$B$65,'Item Usage'!$D$59:$D$65,"---",0,1)</f>
        <v>---</v>
      </c>
      <c r="J89" s="23" t="str">
        <f>_xlfn.XLOOKUP(G89,'Item Usage'!$B$70:$B$100,'Item Usage'!$D$70:$D$100,"---",0,1)</f>
        <v>---</v>
      </c>
      <c r="K89" s="42" t="s">
        <v>492</v>
      </c>
      <c r="L89" s="27" t="str" cm="1">
        <f t="array" ref="L89">IF(D89="---","---", SumHH((D89,O89,R89), I89))</f>
        <v>---</v>
      </c>
      <c r="M89" s="23" t="str">
        <f>IF($E89="---","---",($E89+$O89+$R89)-$J89)</f>
        <v>---</v>
      </c>
      <c r="N89" s="69">
        <f>IF($F89="---","---",($F89+$O89+$R89))</f>
        <v>44536</v>
      </c>
      <c r="O89" s="23">
        <v>6</v>
      </c>
      <c r="P89" s="42"/>
      <c r="Q89" s="42" t="s">
        <v>160</v>
      </c>
      <c r="R89" s="23">
        <v>1820</v>
      </c>
      <c r="S89" s="63" t="s">
        <v>641</v>
      </c>
      <c r="T89" s="42">
        <v>0</v>
      </c>
      <c r="U89" s="63"/>
      <c r="V89" s="63" t="s">
        <v>642</v>
      </c>
      <c r="W89" s="42" t="s">
        <v>643</v>
      </c>
      <c r="X89" s="63" t="s">
        <v>644</v>
      </c>
      <c r="Y89" s="58" t="s">
        <v>162</v>
      </c>
      <c r="Z89" s="42" t="s">
        <v>115</v>
      </c>
      <c r="AA89" s="42" t="s">
        <v>328</v>
      </c>
      <c r="AB89" s="23">
        <v>1790</v>
      </c>
    </row>
    <row r="90" spans="1:28" x14ac:dyDescent="0.25">
      <c r="A90" s="64"/>
      <c r="B90" s="42"/>
      <c r="C90" s="42"/>
      <c r="D90" s="27" t="s">
        <v>297</v>
      </c>
      <c r="E90" s="23" t="s">
        <v>297</v>
      </c>
      <c r="F90" s="25">
        <v>44161</v>
      </c>
      <c r="G90" s="42" t="s">
        <v>79</v>
      </c>
      <c r="H90" s="42" t="s">
        <v>259</v>
      </c>
      <c r="I90" s="27" t="str">
        <f>_xlfn.XLOOKUP(G90,'Item Usage'!$B$59:$B$65,'Item Usage'!$D$59:$D$65,"---",0,1)</f>
        <v>---</v>
      </c>
      <c r="J90" s="23" t="str">
        <f>_xlfn.XLOOKUP(G90,'Item Usage'!$B$70:$B$100,'Item Usage'!$D$70:$D$100,"---",0,1)</f>
        <v>---</v>
      </c>
      <c r="K90" s="42" t="s">
        <v>492</v>
      </c>
      <c r="L90" s="27" t="str" cm="1">
        <f t="array" ref="L90">IF(D90="---","---", SumHH((D90,O90,R90), I90))</f>
        <v>---</v>
      </c>
      <c r="M90" s="23" t="str">
        <f>IF($E90="---","---",($E90+$O90+$R90)-$J90)</f>
        <v>---</v>
      </c>
      <c r="N90" s="69">
        <f>IF($F90="---","---",($F90+$O90+$R90))</f>
        <v>44536</v>
      </c>
      <c r="O90" s="23">
        <v>11</v>
      </c>
      <c r="P90" s="42"/>
      <c r="Q90" s="42" t="s">
        <v>650</v>
      </c>
      <c r="R90" s="23">
        <v>364</v>
      </c>
      <c r="S90" s="63" t="s">
        <v>648</v>
      </c>
      <c r="T90" s="42">
        <v>0</v>
      </c>
      <c r="U90" s="63"/>
      <c r="V90" s="63" t="s">
        <v>649</v>
      </c>
      <c r="W90" s="42">
        <v>406341</v>
      </c>
      <c r="X90" s="63" t="s">
        <v>594</v>
      </c>
      <c r="Y90" s="58" t="s">
        <v>219</v>
      </c>
      <c r="Z90" s="42" t="s">
        <v>115</v>
      </c>
      <c r="AA90" s="42" t="s">
        <v>328</v>
      </c>
      <c r="AB90" s="23">
        <v>334</v>
      </c>
    </row>
    <row r="91" spans="1:28" x14ac:dyDescent="0.25">
      <c r="A91" s="64"/>
      <c r="B91" s="42"/>
      <c r="C91" s="42"/>
      <c r="D91" s="27" t="s">
        <v>297</v>
      </c>
      <c r="E91" s="23" t="s">
        <v>297</v>
      </c>
      <c r="F91" s="25">
        <v>44159</v>
      </c>
      <c r="G91" s="42" t="s">
        <v>79</v>
      </c>
      <c r="H91" s="42" t="s">
        <v>259</v>
      </c>
      <c r="I91" s="27" t="str">
        <f>_xlfn.XLOOKUP(G91,'Item Usage'!$B$59:$B$65,'Item Usage'!$D$59:$D$65,"---",0,1)</f>
        <v>---</v>
      </c>
      <c r="J91" s="23" t="str">
        <f>_xlfn.XLOOKUP(G91,'Item Usage'!$B$70:$B$100,'Item Usage'!$D$70:$D$100,"---",0,1)</f>
        <v>---</v>
      </c>
      <c r="K91" s="42" t="s">
        <v>492</v>
      </c>
      <c r="L91" s="27" t="str" cm="1">
        <f t="array" ref="L91">IF(D91="---","---", SumHH((D91,O91,R91), I91))</f>
        <v>---</v>
      </c>
      <c r="M91" s="23" t="str">
        <f>IF($E91="---","---",($E91+$O91+$R91)-$J91)</f>
        <v>---</v>
      </c>
      <c r="N91" s="69">
        <f>IF($F91="---","---",($F91+$O91+$R91))</f>
        <v>44536</v>
      </c>
      <c r="O91" s="23">
        <v>12</v>
      </c>
      <c r="P91" s="42"/>
      <c r="Q91" s="42" t="s">
        <v>101</v>
      </c>
      <c r="R91" s="23">
        <v>365</v>
      </c>
      <c r="S91" s="63" t="s">
        <v>422</v>
      </c>
      <c r="T91" s="42">
        <v>0</v>
      </c>
      <c r="U91" s="63"/>
      <c r="V91" s="63" t="s">
        <v>423</v>
      </c>
      <c r="W91" s="42" t="s">
        <v>492</v>
      </c>
      <c r="X91" s="63" t="s">
        <v>113</v>
      </c>
      <c r="Y91" s="58" t="s">
        <v>424</v>
      </c>
      <c r="Z91" s="42" t="s">
        <v>115</v>
      </c>
      <c r="AA91" s="42" t="s">
        <v>327</v>
      </c>
      <c r="AB91" s="23">
        <v>344</v>
      </c>
    </row>
    <row r="92" spans="1:28" x14ac:dyDescent="0.25">
      <c r="A92" s="64"/>
      <c r="B92" s="42"/>
      <c r="C92" s="42"/>
      <c r="D92" s="27" t="s">
        <v>297</v>
      </c>
      <c r="E92" s="23" t="s">
        <v>297</v>
      </c>
      <c r="F92" s="25">
        <v>44159</v>
      </c>
      <c r="G92" s="42" t="s">
        <v>79</v>
      </c>
      <c r="H92" s="42" t="s">
        <v>259</v>
      </c>
      <c r="I92" s="27" t="str">
        <f>_xlfn.XLOOKUP(G92,'Item Usage'!$B$59:$B$65,'Item Usage'!$D$59:$D$65,"---",0,1)</f>
        <v>---</v>
      </c>
      <c r="J92" s="23" t="str">
        <f>_xlfn.XLOOKUP(G92,'Item Usage'!$B$70:$B$100,'Item Usage'!$D$70:$D$100,"---",0,1)</f>
        <v>---</v>
      </c>
      <c r="K92" s="42" t="s">
        <v>492</v>
      </c>
      <c r="L92" s="27" t="str" cm="1">
        <f t="array" ref="L92">IF(D92="---","---", SumHH((D92,O92,R92), I92))</f>
        <v>---</v>
      </c>
      <c r="M92" s="23" t="str">
        <f>IF($E92="---","---",($E92+$O92+$R92)-$J92)</f>
        <v>---</v>
      </c>
      <c r="N92" s="69">
        <f>IF($F92="---","---",($F92+$O92+$R92))</f>
        <v>44536</v>
      </c>
      <c r="O92" s="23">
        <v>12</v>
      </c>
      <c r="P92" s="42"/>
      <c r="Q92" s="42" t="s">
        <v>101</v>
      </c>
      <c r="R92" s="23">
        <v>365</v>
      </c>
      <c r="S92" s="63" t="s">
        <v>320</v>
      </c>
      <c r="T92" s="42">
        <v>0</v>
      </c>
      <c r="U92" s="63"/>
      <c r="V92" s="63" t="s">
        <v>321</v>
      </c>
      <c r="W92" s="42" t="s">
        <v>492</v>
      </c>
      <c r="X92" s="63" t="s">
        <v>113</v>
      </c>
      <c r="Y92" s="58" t="s">
        <v>334</v>
      </c>
      <c r="Z92" s="42" t="s">
        <v>115</v>
      </c>
      <c r="AA92" s="42" t="s">
        <v>327</v>
      </c>
      <c r="AB92" s="23">
        <v>344</v>
      </c>
    </row>
    <row r="93" spans="1:28" x14ac:dyDescent="0.25">
      <c r="A93" s="64"/>
      <c r="B93" s="42"/>
      <c r="C93" s="42"/>
      <c r="D93" s="27" t="s">
        <v>297</v>
      </c>
      <c r="E93" s="23" t="s">
        <v>297</v>
      </c>
      <c r="F93" s="25" t="s">
        <v>343</v>
      </c>
      <c r="G93" s="42" t="s">
        <v>79</v>
      </c>
      <c r="H93" s="42" t="s">
        <v>259</v>
      </c>
      <c r="I93" s="27" t="str">
        <f>_xlfn.XLOOKUP(G93,'Item Usage'!$B$59:$B$65,'Item Usage'!$D$59:$D$65,"---",0,1)</f>
        <v>---</v>
      </c>
      <c r="J93" s="23" t="str">
        <f>_xlfn.XLOOKUP(G93,'Item Usage'!$B$70:$B$100,'Item Usage'!$D$70:$D$100,"---",0,1)</f>
        <v>---</v>
      </c>
      <c r="K93" s="42" t="s">
        <v>492</v>
      </c>
      <c r="L93" s="27" t="str" cm="1">
        <f t="array" ref="L93">IF(D93="---","---", SumHH((D93,O93,R93), I93))</f>
        <v>---</v>
      </c>
      <c r="M93" s="23" t="str">
        <f>IF($E93="---","---",($E93+$O93+$R93)-$J93)</f>
        <v>---</v>
      </c>
      <c r="N93" s="69">
        <f>IF($F93="---","---",($F93+$O93+$R93))</f>
        <v>44536</v>
      </c>
      <c r="O93" s="23">
        <v>0</v>
      </c>
      <c r="P93" s="42"/>
      <c r="Q93" s="42" t="s">
        <v>268</v>
      </c>
      <c r="R93" s="23">
        <v>0</v>
      </c>
      <c r="S93" s="63" t="s">
        <v>268</v>
      </c>
      <c r="T93" s="42">
        <v>21</v>
      </c>
      <c r="U93" s="63" t="s">
        <v>653</v>
      </c>
      <c r="V93" s="63" t="s">
        <v>443</v>
      </c>
      <c r="W93" s="42" t="s">
        <v>492</v>
      </c>
      <c r="X93" s="63" t="s">
        <v>113</v>
      </c>
      <c r="Y93" s="58" t="s">
        <v>268</v>
      </c>
      <c r="Z93" s="42" t="s">
        <v>115</v>
      </c>
      <c r="AA93" s="42" t="s">
        <v>327</v>
      </c>
      <c r="AB93" s="23">
        <v>35</v>
      </c>
    </row>
    <row r="94" spans="1:28" x14ac:dyDescent="0.25">
      <c r="A94" s="64"/>
      <c r="B94" s="42"/>
      <c r="C94" s="42"/>
      <c r="D94" s="27" t="s">
        <v>297</v>
      </c>
      <c r="E94" s="23" t="s">
        <v>297</v>
      </c>
      <c r="F94" s="25" t="s">
        <v>343</v>
      </c>
      <c r="G94" s="42" t="s">
        <v>79</v>
      </c>
      <c r="H94" s="42" t="s">
        <v>259</v>
      </c>
      <c r="I94" s="27" t="str">
        <f>_xlfn.XLOOKUP(G94,'Item Usage'!$B$59:$B$65,'Item Usage'!$D$59:$D$65,"---",0,1)</f>
        <v>---</v>
      </c>
      <c r="J94" s="23" t="str">
        <f>_xlfn.XLOOKUP(G94,'Item Usage'!$B$70:$B$100,'Item Usage'!$D$70:$D$100,"---",0,1)</f>
        <v>---</v>
      </c>
      <c r="K94" s="42" t="s">
        <v>492</v>
      </c>
      <c r="L94" s="27" t="str" cm="1">
        <f t="array" ref="L94">IF(D94="---","---", SumHH((D94,O94,R94), I94))</f>
        <v>---</v>
      </c>
      <c r="M94" s="23" t="str">
        <f>IF($E94="---","---",($E94+$O94+$R94)-$J94)</f>
        <v>---</v>
      </c>
      <c r="N94" s="69">
        <f>IF($F94="---","---",($F94+$O94+$R94))</f>
        <v>44536</v>
      </c>
      <c r="O94" s="23">
        <v>0</v>
      </c>
      <c r="P94" s="42"/>
      <c r="Q94" s="42" t="s">
        <v>274</v>
      </c>
      <c r="R94" s="23">
        <v>0</v>
      </c>
      <c r="S94" s="63" t="s">
        <v>274</v>
      </c>
      <c r="T94" s="42">
        <v>151</v>
      </c>
      <c r="U94" s="63" t="s">
        <v>656</v>
      </c>
      <c r="V94" s="63" t="s">
        <v>655</v>
      </c>
      <c r="W94" s="42" t="s">
        <v>492</v>
      </c>
      <c r="X94" s="63" t="s">
        <v>113</v>
      </c>
      <c r="Y94" s="58" t="s">
        <v>274</v>
      </c>
      <c r="Z94" s="42" t="s">
        <v>115</v>
      </c>
      <c r="AA94" s="42" t="s">
        <v>327</v>
      </c>
      <c r="AB94" s="23">
        <v>0</v>
      </c>
    </row>
    <row r="95" spans="1:28" x14ac:dyDescent="0.25">
      <c r="A95" s="64"/>
      <c r="B95" s="42"/>
      <c r="C95" s="42"/>
      <c r="D95" s="27" t="s">
        <v>297</v>
      </c>
      <c r="E95" s="23" t="s">
        <v>297</v>
      </c>
      <c r="F95" s="25" t="s">
        <v>343</v>
      </c>
      <c r="G95" s="42" t="s">
        <v>79</v>
      </c>
      <c r="H95" s="42" t="s">
        <v>259</v>
      </c>
      <c r="I95" s="27" t="str">
        <f>_xlfn.XLOOKUP(G95,'Item Usage'!$B$59:$B$65,'Item Usage'!$D$59:$D$65,"---",0,1)</f>
        <v>---</v>
      </c>
      <c r="J95" s="23" t="str">
        <f>_xlfn.XLOOKUP(G95,'Item Usage'!$B$70:$B$100,'Item Usage'!$D$70:$D$100,"---",0,1)</f>
        <v>---</v>
      </c>
      <c r="K95" s="42" t="s">
        <v>492</v>
      </c>
      <c r="L95" s="27" t="str" cm="1">
        <f t="array" ref="L95">IF(D95="---","---", SumHH((D95,O95,R95), I95))</f>
        <v>---</v>
      </c>
      <c r="M95" s="23" t="str">
        <f>IF($E95="---","---",($E95+$O95+$R95)-$J95)</f>
        <v>---</v>
      </c>
      <c r="N95" s="69">
        <f>IF($F95="---","---",($F95+$O95+$R95))</f>
        <v>44536</v>
      </c>
      <c r="O95" s="23">
        <v>0</v>
      </c>
      <c r="P95" s="42"/>
      <c r="Q95" s="42" t="s">
        <v>274</v>
      </c>
      <c r="R95" s="23">
        <v>0</v>
      </c>
      <c r="S95" s="63" t="s">
        <v>274</v>
      </c>
      <c r="T95" s="42">
        <v>175</v>
      </c>
      <c r="U95" s="63" t="s">
        <v>659</v>
      </c>
      <c r="V95" s="63" t="s">
        <v>658</v>
      </c>
      <c r="W95" s="42" t="s">
        <v>492</v>
      </c>
      <c r="X95" s="63" t="s">
        <v>113</v>
      </c>
      <c r="Y95" s="58" t="s">
        <v>274</v>
      </c>
      <c r="Z95" s="42" t="s">
        <v>115</v>
      </c>
      <c r="AA95" s="42" t="s">
        <v>327</v>
      </c>
      <c r="AB95" s="23">
        <v>173</v>
      </c>
    </row>
    <row r="96" spans="1:28" x14ac:dyDescent="0.25">
      <c r="A96" s="64"/>
      <c r="B96" s="42"/>
      <c r="C96" s="42"/>
      <c r="D96" s="27" t="s">
        <v>297</v>
      </c>
      <c r="E96" s="23" t="s">
        <v>297</v>
      </c>
      <c r="F96" s="25">
        <v>44161</v>
      </c>
      <c r="G96" s="42" t="s">
        <v>79</v>
      </c>
      <c r="H96" s="42" t="s">
        <v>259</v>
      </c>
      <c r="I96" s="27" t="str">
        <f>_xlfn.XLOOKUP(G96,'Item Usage'!$B$59:$B$65,'Item Usage'!$D$59:$D$65,"---",0,1)</f>
        <v>---</v>
      </c>
      <c r="J96" s="23" t="str">
        <f>_xlfn.XLOOKUP(G96,'Item Usage'!$B$70:$B$100,'Item Usage'!$D$70:$D$100,"---",0,1)</f>
        <v>---</v>
      </c>
      <c r="K96" s="42" t="s">
        <v>492</v>
      </c>
      <c r="L96" s="27" t="str" cm="1">
        <f t="array" ref="L96">IF(D96="---","---", SumHH((D96,O96,R96), I96))</f>
        <v>---</v>
      </c>
      <c r="M96" s="23" t="str">
        <f>IF($E96="---","---",($E96+$O96+$R96)-$J96)</f>
        <v>---</v>
      </c>
      <c r="N96" s="69">
        <f>IF($F96="---","---",($F96+$O96+$R96))</f>
        <v>44536</v>
      </c>
      <c r="O96" s="23">
        <v>11</v>
      </c>
      <c r="P96" s="42"/>
      <c r="Q96" s="42" t="s">
        <v>650</v>
      </c>
      <c r="R96" s="23">
        <v>364</v>
      </c>
      <c r="S96" s="63" t="s">
        <v>663</v>
      </c>
      <c r="T96" s="42">
        <v>0</v>
      </c>
      <c r="U96" s="63"/>
      <c r="V96" s="63" t="s">
        <v>664</v>
      </c>
      <c r="W96" s="42">
        <v>411915</v>
      </c>
      <c r="X96" s="63" t="s">
        <v>599</v>
      </c>
      <c r="Y96" s="58" t="s">
        <v>219</v>
      </c>
      <c r="Z96" s="42" t="s">
        <v>115</v>
      </c>
      <c r="AA96" s="42" t="s">
        <v>328</v>
      </c>
      <c r="AB96" s="23">
        <v>334</v>
      </c>
    </row>
    <row r="97" spans="1:28" x14ac:dyDescent="0.25">
      <c r="A97" s="64"/>
      <c r="B97" s="42"/>
      <c r="C97" s="42"/>
      <c r="D97" s="27" t="s">
        <v>297</v>
      </c>
      <c r="E97" s="23" t="s">
        <v>297</v>
      </c>
      <c r="F97" s="25">
        <v>44159</v>
      </c>
      <c r="G97" s="42" t="s">
        <v>79</v>
      </c>
      <c r="H97" s="42" t="s">
        <v>259</v>
      </c>
      <c r="I97" s="27" t="str">
        <f>_xlfn.XLOOKUP(G97,'Item Usage'!$B$59:$B$65,'Item Usage'!$D$59:$D$65,"---",0,1)</f>
        <v>---</v>
      </c>
      <c r="J97" s="23" t="str">
        <f>_xlfn.XLOOKUP(G97,'Item Usage'!$B$70:$B$100,'Item Usage'!$D$70:$D$100,"---",0,1)</f>
        <v>---</v>
      </c>
      <c r="K97" s="42" t="s">
        <v>492</v>
      </c>
      <c r="L97" s="27" t="str" cm="1">
        <f t="array" ref="L97">IF(D97="---","---", SumHH((D97,O97,R97), I97))</f>
        <v>---</v>
      </c>
      <c r="M97" s="23" t="str">
        <f>IF($E97="---","---",($E97+$O97+$R97)-$J97)</f>
        <v>---</v>
      </c>
      <c r="N97" s="69">
        <f>IF($F97="---","---",($F97+$O97+$R97))</f>
        <v>44536</v>
      </c>
      <c r="O97" s="23">
        <v>13</v>
      </c>
      <c r="P97" s="42"/>
      <c r="Q97" s="42" t="s">
        <v>101</v>
      </c>
      <c r="R97" s="23">
        <v>364</v>
      </c>
      <c r="S97" s="63" t="s">
        <v>665</v>
      </c>
      <c r="T97" s="42">
        <v>0</v>
      </c>
      <c r="U97" s="63"/>
      <c r="V97" s="63" t="s">
        <v>666</v>
      </c>
      <c r="W97" s="42">
        <v>171</v>
      </c>
      <c r="X97" s="63" t="s">
        <v>669</v>
      </c>
      <c r="Y97" s="58" t="s">
        <v>668</v>
      </c>
      <c r="Z97" s="42" t="s">
        <v>115</v>
      </c>
      <c r="AA97" s="42" t="s">
        <v>328</v>
      </c>
      <c r="AB97" s="23">
        <v>330</v>
      </c>
    </row>
    <row r="98" spans="1:28" x14ac:dyDescent="0.25">
      <c r="A98" s="64"/>
      <c r="B98" s="42"/>
      <c r="C98" s="42"/>
      <c r="D98" s="27" t="s">
        <v>297</v>
      </c>
      <c r="E98" s="23" t="s">
        <v>297</v>
      </c>
      <c r="F98" s="25">
        <v>44160</v>
      </c>
      <c r="G98" s="42" t="s">
        <v>79</v>
      </c>
      <c r="H98" s="42" t="s">
        <v>259</v>
      </c>
      <c r="I98" s="27" t="str">
        <f>_xlfn.XLOOKUP(G98,'Item Usage'!$B$59:$B$65,'Item Usage'!$D$59:$D$65,"---",0,1)</f>
        <v>---</v>
      </c>
      <c r="J98" s="23" t="str">
        <f>_xlfn.XLOOKUP(G98,'Item Usage'!$B$70:$B$100,'Item Usage'!$D$70:$D$100,"---",0,1)</f>
        <v>---</v>
      </c>
      <c r="K98" s="42" t="s">
        <v>492</v>
      </c>
      <c r="L98" s="27" t="str" cm="1">
        <f t="array" ref="L98">IF(D98="---","---", SumHH((D98,O98,R98), I98))</f>
        <v>---</v>
      </c>
      <c r="M98" s="23" t="str">
        <f>IF($E98="---","---",($E98+$O98+$R98)-$J98)</f>
        <v>---</v>
      </c>
      <c r="N98" s="69">
        <f>IF($F98="---","---",($F98+$O98+$R98))</f>
        <v>44536</v>
      </c>
      <c r="O98" s="23">
        <v>12</v>
      </c>
      <c r="P98" s="42"/>
      <c r="Q98" s="42" t="s">
        <v>101</v>
      </c>
      <c r="R98" s="23">
        <v>364</v>
      </c>
      <c r="S98" s="63" t="s">
        <v>665</v>
      </c>
      <c r="T98" s="42">
        <v>0</v>
      </c>
      <c r="U98" s="63"/>
      <c r="V98" s="63" t="s">
        <v>666</v>
      </c>
      <c r="W98" s="42">
        <v>6</v>
      </c>
      <c r="X98" s="63" t="s">
        <v>672</v>
      </c>
      <c r="Y98" s="58" t="s">
        <v>668</v>
      </c>
      <c r="Z98" s="42" t="s">
        <v>115</v>
      </c>
      <c r="AA98" s="42" t="s">
        <v>328</v>
      </c>
      <c r="AB98" s="23">
        <v>330</v>
      </c>
    </row>
    <row r="99" spans="1:28" x14ac:dyDescent="0.25">
      <c r="A99" s="64"/>
      <c r="B99" s="42"/>
      <c r="C99" s="42"/>
      <c r="D99" s="27" t="s">
        <v>297</v>
      </c>
      <c r="E99" s="23" t="s">
        <v>297</v>
      </c>
      <c r="F99" s="25">
        <v>44160</v>
      </c>
      <c r="G99" s="42" t="s">
        <v>79</v>
      </c>
      <c r="H99" s="42" t="s">
        <v>259</v>
      </c>
      <c r="I99" s="27" t="str">
        <f>_xlfn.XLOOKUP(G99,'Item Usage'!$B$59:$B$65,'Item Usage'!$D$59:$D$65,"---",0,1)</f>
        <v>---</v>
      </c>
      <c r="J99" s="23" t="str">
        <f>_xlfn.XLOOKUP(G99,'Item Usage'!$B$70:$B$100,'Item Usage'!$D$70:$D$100,"---",0,1)</f>
        <v>---</v>
      </c>
      <c r="K99" s="42" t="s">
        <v>492</v>
      </c>
      <c r="L99" s="27" t="str" cm="1">
        <f t="array" ref="L99">IF(D99="---","---", SumHH((D99,O99,R99), I99))</f>
        <v>---</v>
      </c>
      <c r="M99" s="23" t="str">
        <f>IF($E99="---","---",($E99+$O99+$R99)-$J99)</f>
        <v>---</v>
      </c>
      <c r="N99" s="69">
        <f>IF($F99="---","---",($F99+$O99+$R99))</f>
        <v>44536</v>
      </c>
      <c r="O99" s="23">
        <v>12</v>
      </c>
      <c r="P99" s="42"/>
      <c r="Q99" s="42" t="s">
        <v>650</v>
      </c>
      <c r="R99" s="23">
        <v>364</v>
      </c>
      <c r="S99" s="63" t="s">
        <v>663</v>
      </c>
      <c r="T99" s="42">
        <v>0</v>
      </c>
      <c r="U99" s="63"/>
      <c r="V99" s="63" t="s">
        <v>664</v>
      </c>
      <c r="W99" s="42">
        <v>662721</v>
      </c>
      <c r="X99" s="63" t="s">
        <v>607</v>
      </c>
      <c r="Y99" s="58" t="s">
        <v>219</v>
      </c>
      <c r="Z99" s="42" t="s">
        <v>115</v>
      </c>
      <c r="AA99" s="42" t="s">
        <v>328</v>
      </c>
      <c r="AB99" s="23">
        <v>334</v>
      </c>
    </row>
    <row r="100" spans="1:28" x14ac:dyDescent="0.25">
      <c r="A100" s="64"/>
      <c r="B100" s="42"/>
      <c r="C100" s="42"/>
      <c r="D100" s="27" t="s">
        <v>297</v>
      </c>
      <c r="E100" s="23" t="s">
        <v>297</v>
      </c>
      <c r="F100" s="25" t="s">
        <v>344</v>
      </c>
      <c r="G100" s="42" t="s">
        <v>79</v>
      </c>
      <c r="H100" s="42" t="s">
        <v>259</v>
      </c>
      <c r="I100" s="27" t="str">
        <f>_xlfn.XLOOKUP(G100,'Item Usage'!$B$59:$B$65,'Item Usage'!$D$59:$D$65,"---",0,1)</f>
        <v>---</v>
      </c>
      <c r="J100" s="23" t="str">
        <f>_xlfn.XLOOKUP(G100,'Item Usage'!$B$70:$B$100,'Item Usage'!$D$70:$D$100,"---",0,1)</f>
        <v>---</v>
      </c>
      <c r="K100" s="42" t="s">
        <v>492</v>
      </c>
      <c r="L100" s="27" t="str" cm="1">
        <f t="array" ref="L100">IF(D100="---","---", SumHH((D100,O100,R100), I100))</f>
        <v>---</v>
      </c>
      <c r="M100" s="23" t="str">
        <f>IF($E100="---","---",($E100+$O100+$R100)-$J100)</f>
        <v>---</v>
      </c>
      <c r="N100" s="69">
        <f>IF($F100="---","---",($F100+$O100+$R100))</f>
        <v>44537</v>
      </c>
      <c r="O100" s="23">
        <v>0</v>
      </c>
      <c r="P100" s="42"/>
      <c r="Q100" s="42" t="s">
        <v>268</v>
      </c>
      <c r="R100" s="23">
        <v>0</v>
      </c>
      <c r="S100" s="63" t="s">
        <v>268</v>
      </c>
      <c r="T100" s="42">
        <v>19</v>
      </c>
      <c r="U100" s="63" t="s">
        <v>675</v>
      </c>
      <c r="V100" s="63" t="s">
        <v>674</v>
      </c>
      <c r="W100" s="42" t="s">
        <v>492</v>
      </c>
      <c r="X100" s="63" t="s">
        <v>113</v>
      </c>
      <c r="Y100" s="58" t="s">
        <v>268</v>
      </c>
      <c r="Z100" s="42" t="s">
        <v>115</v>
      </c>
      <c r="AA100" s="42" t="s">
        <v>327</v>
      </c>
      <c r="AB100" s="23">
        <v>60</v>
      </c>
    </row>
    <row r="101" spans="1:28" x14ac:dyDescent="0.25">
      <c r="A101" s="64"/>
      <c r="B101" s="42"/>
      <c r="C101" s="42"/>
      <c r="D101" s="27" t="s">
        <v>297</v>
      </c>
      <c r="E101" s="23" t="s">
        <v>297</v>
      </c>
      <c r="F101" s="25" t="s">
        <v>344</v>
      </c>
      <c r="G101" s="42" t="s">
        <v>79</v>
      </c>
      <c r="H101" s="42" t="s">
        <v>259</v>
      </c>
      <c r="I101" s="27" t="str">
        <f>_xlfn.XLOOKUP(G101,'Item Usage'!$B$59:$B$65,'Item Usage'!$D$59:$D$65,"---",0,1)</f>
        <v>---</v>
      </c>
      <c r="J101" s="23" t="str">
        <f>_xlfn.XLOOKUP(G101,'Item Usage'!$B$70:$B$100,'Item Usage'!$D$70:$D$100,"---",0,1)</f>
        <v>---</v>
      </c>
      <c r="K101" s="42" t="s">
        <v>492</v>
      </c>
      <c r="L101" s="27" t="str" cm="1">
        <f t="array" ref="L101">IF(D101="---","---", SumHH((D101,O101,R101), I101))</f>
        <v>---</v>
      </c>
      <c r="M101" s="23" t="str">
        <f>IF($E101="---","---",($E101+$O101+$R101)-$J101)</f>
        <v>---</v>
      </c>
      <c r="N101" s="69">
        <f>IF($F101="---","---",($F101+$O101+$R101))</f>
        <v>44537</v>
      </c>
      <c r="O101" s="23">
        <v>0</v>
      </c>
      <c r="P101" s="42"/>
      <c r="Q101" s="42" t="s">
        <v>268</v>
      </c>
      <c r="R101" s="23">
        <v>0</v>
      </c>
      <c r="S101" s="63" t="s">
        <v>268</v>
      </c>
      <c r="T101" s="42">
        <v>20</v>
      </c>
      <c r="U101" s="63" t="s">
        <v>680</v>
      </c>
      <c r="V101" s="63" t="s">
        <v>679</v>
      </c>
      <c r="W101" s="42" t="s">
        <v>492</v>
      </c>
      <c r="X101" s="63" t="s">
        <v>113</v>
      </c>
      <c r="Y101" s="58" t="s">
        <v>268</v>
      </c>
      <c r="Z101" s="42" t="s">
        <v>115</v>
      </c>
      <c r="AA101" s="42" t="s">
        <v>327</v>
      </c>
      <c r="AB101" s="23">
        <v>83</v>
      </c>
    </row>
    <row r="102" spans="1:28" x14ac:dyDescent="0.25">
      <c r="A102" s="64"/>
      <c r="B102" s="42"/>
      <c r="C102" s="42"/>
      <c r="D102" s="27" t="s">
        <v>297</v>
      </c>
      <c r="E102" s="23" t="s">
        <v>297</v>
      </c>
      <c r="F102" s="25" t="s">
        <v>344</v>
      </c>
      <c r="G102" s="42" t="s">
        <v>79</v>
      </c>
      <c r="H102" s="42" t="s">
        <v>259</v>
      </c>
      <c r="I102" s="27" t="str">
        <f>_xlfn.XLOOKUP(G102,'Item Usage'!$B$59:$B$65,'Item Usage'!$D$59:$D$65,"---",0,1)</f>
        <v>---</v>
      </c>
      <c r="J102" s="23" t="str">
        <f>_xlfn.XLOOKUP(G102,'Item Usage'!$B$70:$B$100,'Item Usage'!$D$70:$D$100,"---",0,1)</f>
        <v>---</v>
      </c>
      <c r="K102" s="42" t="s">
        <v>492</v>
      </c>
      <c r="L102" s="27" t="str" cm="1">
        <f t="array" ref="L102">IF(D102="---","---", SumHH((D102,O102,R102), I102))</f>
        <v>---</v>
      </c>
      <c r="M102" s="23" t="str">
        <f>IF($E102="---","---",($E102+$O102+$R102)-$J102)</f>
        <v>---</v>
      </c>
      <c r="N102" s="69">
        <f>IF($F102="---","---",($F102+$O102+$R102))</f>
        <v>44537</v>
      </c>
      <c r="O102" s="23">
        <v>0</v>
      </c>
      <c r="P102" s="42"/>
      <c r="Q102" s="42" t="s">
        <v>274</v>
      </c>
      <c r="R102" s="23">
        <v>0</v>
      </c>
      <c r="S102" s="63" t="s">
        <v>274</v>
      </c>
      <c r="T102" s="42">
        <v>185</v>
      </c>
      <c r="U102" s="63" t="s">
        <v>683</v>
      </c>
      <c r="V102" s="63" t="s">
        <v>682</v>
      </c>
      <c r="W102" s="42" t="s">
        <v>492</v>
      </c>
      <c r="X102" s="63" t="s">
        <v>113</v>
      </c>
      <c r="Y102" s="58" t="s">
        <v>274</v>
      </c>
      <c r="Z102" s="42" t="s">
        <v>115</v>
      </c>
      <c r="AA102" s="42" t="s">
        <v>327</v>
      </c>
      <c r="AB102" s="23">
        <v>5</v>
      </c>
    </row>
    <row r="103" spans="1:28" x14ac:dyDescent="0.25">
      <c r="A103" s="64"/>
      <c r="B103" s="42"/>
      <c r="C103" s="42"/>
      <c r="D103" s="27" t="s">
        <v>297</v>
      </c>
      <c r="E103" s="23" t="s">
        <v>297</v>
      </c>
      <c r="F103" s="25" t="s">
        <v>344</v>
      </c>
      <c r="G103" s="42" t="s">
        <v>79</v>
      </c>
      <c r="H103" s="42" t="s">
        <v>259</v>
      </c>
      <c r="I103" s="27" t="str">
        <f>_xlfn.XLOOKUP(G103,'Item Usage'!$B$59:$B$65,'Item Usage'!$D$59:$D$65,"---",0,1)</f>
        <v>---</v>
      </c>
      <c r="J103" s="23" t="str">
        <f>_xlfn.XLOOKUP(G103,'Item Usage'!$B$70:$B$100,'Item Usage'!$D$70:$D$100,"---",0,1)</f>
        <v>---</v>
      </c>
      <c r="K103" s="42" t="s">
        <v>492</v>
      </c>
      <c r="L103" s="27" t="str" cm="1">
        <f t="array" ref="L103">IF(D103="---","---", SumHH((D103,O103,R103), I103))</f>
        <v>---</v>
      </c>
      <c r="M103" s="23" t="str">
        <f>IF($E103="---","---",($E103+$O103+$R103)-$J103)</f>
        <v>---</v>
      </c>
      <c r="N103" s="69">
        <f>IF($F103="---","---",($F103+$O103+$R103))</f>
        <v>44537</v>
      </c>
      <c r="O103" s="23">
        <v>0</v>
      </c>
      <c r="P103" s="42"/>
      <c r="Q103" s="42" t="s">
        <v>274</v>
      </c>
      <c r="R103" s="23">
        <v>0</v>
      </c>
      <c r="S103" s="63" t="s">
        <v>274</v>
      </c>
      <c r="T103" s="42">
        <v>186</v>
      </c>
      <c r="U103" s="63" t="s">
        <v>688</v>
      </c>
      <c r="V103" s="63" t="s">
        <v>687</v>
      </c>
      <c r="W103" s="42" t="s">
        <v>492</v>
      </c>
      <c r="X103" s="63" t="s">
        <v>113</v>
      </c>
      <c r="Y103" s="58" t="s">
        <v>274</v>
      </c>
      <c r="Z103" s="42" t="s">
        <v>115</v>
      </c>
      <c r="AA103" s="42" t="s">
        <v>327</v>
      </c>
      <c r="AB103" s="23">
        <v>0</v>
      </c>
    </row>
    <row r="104" spans="1:28" x14ac:dyDescent="0.25">
      <c r="A104" s="64"/>
      <c r="B104" s="42"/>
      <c r="C104" s="42"/>
      <c r="D104" s="27" t="s">
        <v>297</v>
      </c>
      <c r="E104" s="23" t="s">
        <v>297</v>
      </c>
      <c r="F104" s="25" t="s">
        <v>344</v>
      </c>
      <c r="G104" s="42" t="s">
        <v>79</v>
      </c>
      <c r="H104" s="42" t="s">
        <v>259</v>
      </c>
      <c r="I104" s="27" t="str">
        <f>_xlfn.XLOOKUP(G104,'Item Usage'!$B$59:$B$65,'Item Usage'!$D$59:$D$65,"---",0,1)</f>
        <v>---</v>
      </c>
      <c r="J104" s="23" t="str">
        <f>_xlfn.XLOOKUP(G104,'Item Usage'!$B$70:$B$100,'Item Usage'!$D$70:$D$100,"---",0,1)</f>
        <v>---</v>
      </c>
      <c r="K104" s="42" t="s">
        <v>492</v>
      </c>
      <c r="L104" s="27" t="str" cm="1">
        <f t="array" ref="L104">IF(D104="---","---", SumHH((D104,O104,R104), I104))</f>
        <v>---</v>
      </c>
      <c r="M104" s="23" t="str">
        <f>IF($E104="---","---",($E104+$O104+$R104)-$J104)</f>
        <v>---</v>
      </c>
      <c r="N104" s="69">
        <f>IF($F104="---","---",($F104+$O104+$R104))</f>
        <v>44537</v>
      </c>
      <c r="O104" s="23">
        <v>0</v>
      </c>
      <c r="P104" s="42"/>
      <c r="Q104" s="42" t="s">
        <v>274</v>
      </c>
      <c r="R104" s="23">
        <v>0</v>
      </c>
      <c r="S104" s="63" t="s">
        <v>274</v>
      </c>
      <c r="T104" s="42">
        <v>187</v>
      </c>
      <c r="U104" s="63" t="s">
        <v>691</v>
      </c>
      <c r="V104" s="63" t="s">
        <v>690</v>
      </c>
      <c r="W104" s="42" t="s">
        <v>492</v>
      </c>
      <c r="X104" s="63" t="s">
        <v>113</v>
      </c>
      <c r="Y104" s="58" t="s">
        <v>274</v>
      </c>
      <c r="Z104" s="42" t="s">
        <v>115</v>
      </c>
      <c r="AA104" s="42" t="s">
        <v>327</v>
      </c>
      <c r="AB104" s="23">
        <v>0</v>
      </c>
    </row>
    <row r="105" spans="1:28" x14ac:dyDescent="0.25">
      <c r="A105" s="64"/>
      <c r="B105" s="42"/>
      <c r="C105" s="42"/>
      <c r="D105" s="27" t="s">
        <v>297</v>
      </c>
      <c r="E105" s="23" t="s">
        <v>297</v>
      </c>
      <c r="F105" s="25" t="s">
        <v>344</v>
      </c>
      <c r="G105" s="42" t="s">
        <v>79</v>
      </c>
      <c r="H105" s="42" t="s">
        <v>259</v>
      </c>
      <c r="I105" s="27" t="str">
        <f>_xlfn.XLOOKUP(G105,'Item Usage'!$B$59:$B$65,'Item Usage'!$D$59:$D$65,"---",0,1)</f>
        <v>---</v>
      </c>
      <c r="J105" s="23" t="str">
        <f>_xlfn.XLOOKUP(G105,'Item Usage'!$B$70:$B$100,'Item Usage'!$D$70:$D$100,"---",0,1)</f>
        <v>---</v>
      </c>
      <c r="K105" s="42" t="s">
        <v>492</v>
      </c>
      <c r="L105" s="27" t="str" cm="1">
        <f t="array" ref="L105">IF(D105="---","---", SumHH((D105,O105,R105), I105))</f>
        <v>---</v>
      </c>
      <c r="M105" s="23" t="str">
        <f>IF($E105="---","---",($E105+$O105+$R105)-$J105)</f>
        <v>---</v>
      </c>
      <c r="N105" s="69">
        <f>IF($F105="---","---",($F105+$O105+$R105))</f>
        <v>44537</v>
      </c>
      <c r="O105" s="23">
        <v>0</v>
      </c>
      <c r="P105" s="42"/>
      <c r="Q105" s="42" t="s">
        <v>274</v>
      </c>
      <c r="R105" s="23">
        <v>0</v>
      </c>
      <c r="S105" s="63" t="s">
        <v>274</v>
      </c>
      <c r="T105" s="42">
        <v>188</v>
      </c>
      <c r="U105" s="63" t="s">
        <v>695</v>
      </c>
      <c r="V105" s="63" t="s">
        <v>694</v>
      </c>
      <c r="W105" s="42" t="s">
        <v>492</v>
      </c>
      <c r="X105" s="63" t="s">
        <v>113</v>
      </c>
      <c r="Y105" s="58" t="s">
        <v>274</v>
      </c>
      <c r="Z105" s="42" t="s">
        <v>115</v>
      </c>
      <c r="AA105" s="42" t="s">
        <v>327</v>
      </c>
      <c r="AB105" s="23">
        <v>0</v>
      </c>
    </row>
    <row r="106" spans="1:28" x14ac:dyDescent="0.25">
      <c r="A106" s="64"/>
      <c r="B106" s="42"/>
      <c r="C106" s="42"/>
      <c r="D106" s="27" t="s">
        <v>297</v>
      </c>
      <c r="E106" s="23" t="s">
        <v>297</v>
      </c>
      <c r="F106" s="25" t="s">
        <v>344</v>
      </c>
      <c r="G106" s="42" t="s">
        <v>79</v>
      </c>
      <c r="H106" s="42" t="s">
        <v>259</v>
      </c>
      <c r="I106" s="27" t="str">
        <f>_xlfn.XLOOKUP(G106,'Item Usage'!$B$59:$B$65,'Item Usage'!$D$59:$D$65,"---",0,1)</f>
        <v>---</v>
      </c>
      <c r="J106" s="23" t="str">
        <f>_xlfn.XLOOKUP(G106,'Item Usage'!$B$70:$B$100,'Item Usage'!$D$70:$D$100,"---",0,1)</f>
        <v>---</v>
      </c>
      <c r="K106" s="42" t="s">
        <v>492</v>
      </c>
      <c r="L106" s="27" t="str" cm="1">
        <f t="array" ref="L106">IF(D106="---","---", SumHH((D106,O106,R106), I106))</f>
        <v>---</v>
      </c>
      <c r="M106" s="23" t="str">
        <f>IF($E106="---","---",($E106+$O106+$R106)-$J106)</f>
        <v>---</v>
      </c>
      <c r="N106" s="69">
        <f>IF($F106="---","---",($F106+$O106+$R106))</f>
        <v>44537</v>
      </c>
      <c r="O106" s="23">
        <v>0</v>
      </c>
      <c r="P106" s="42"/>
      <c r="Q106" s="42" t="s">
        <v>274</v>
      </c>
      <c r="R106" s="23">
        <v>0</v>
      </c>
      <c r="S106" s="63" t="s">
        <v>274</v>
      </c>
      <c r="T106" s="42">
        <v>191</v>
      </c>
      <c r="U106" s="63" t="s">
        <v>699</v>
      </c>
      <c r="V106" s="63" t="s">
        <v>698</v>
      </c>
      <c r="W106" s="42" t="s">
        <v>492</v>
      </c>
      <c r="X106" s="63" t="s">
        <v>113</v>
      </c>
      <c r="Y106" s="58" t="s">
        <v>274</v>
      </c>
      <c r="Z106" s="42" t="s">
        <v>115</v>
      </c>
      <c r="AA106" s="42" t="s">
        <v>327</v>
      </c>
      <c r="AB106" s="23">
        <v>25</v>
      </c>
    </row>
    <row r="107" spans="1:28" x14ac:dyDescent="0.25">
      <c r="A107" s="64"/>
      <c r="B107" s="42"/>
      <c r="C107" s="42"/>
      <c r="D107" s="27" t="s">
        <v>297</v>
      </c>
      <c r="E107" s="23" t="s">
        <v>297</v>
      </c>
      <c r="F107" s="25" t="s">
        <v>344</v>
      </c>
      <c r="G107" s="42" t="s">
        <v>79</v>
      </c>
      <c r="H107" s="42" t="s">
        <v>259</v>
      </c>
      <c r="I107" s="27" t="str">
        <f>_xlfn.XLOOKUP(G107,'Item Usage'!$B$59:$B$65,'Item Usage'!$D$59:$D$65,"---",0,1)</f>
        <v>---</v>
      </c>
      <c r="J107" s="23" t="str">
        <f>_xlfn.XLOOKUP(G107,'Item Usage'!$B$70:$B$100,'Item Usage'!$D$70:$D$100,"---",0,1)</f>
        <v>---</v>
      </c>
      <c r="K107" s="42" t="s">
        <v>492</v>
      </c>
      <c r="L107" s="27" t="str" cm="1">
        <f t="array" ref="L107">IF(D107="---","---", SumHH((D107,O107,R107), I107))</f>
        <v>---</v>
      </c>
      <c r="M107" s="23" t="str">
        <f>IF($E107="---","---",($E107+$O107+$R107)-$J107)</f>
        <v>---</v>
      </c>
      <c r="N107" s="69">
        <f>IF($F107="---","---",($F107+$O107+$R107))</f>
        <v>44537</v>
      </c>
      <c r="O107" s="23">
        <v>0</v>
      </c>
      <c r="P107" s="42"/>
      <c r="Q107" s="42" t="s">
        <v>274</v>
      </c>
      <c r="R107" s="23">
        <v>0</v>
      </c>
      <c r="S107" s="63" t="s">
        <v>274</v>
      </c>
      <c r="T107" s="42">
        <v>192</v>
      </c>
      <c r="U107" s="63" t="s">
        <v>702</v>
      </c>
      <c r="V107" s="63" t="s">
        <v>701</v>
      </c>
      <c r="W107" s="42" t="s">
        <v>492</v>
      </c>
      <c r="X107" s="63" t="s">
        <v>113</v>
      </c>
      <c r="Y107" s="58" t="s">
        <v>274</v>
      </c>
      <c r="Z107" s="42" t="s">
        <v>115</v>
      </c>
      <c r="AA107" s="42" t="s">
        <v>327</v>
      </c>
      <c r="AB107" s="23">
        <v>10</v>
      </c>
    </row>
    <row r="108" spans="1:28" x14ac:dyDescent="0.25">
      <c r="A108" s="64"/>
      <c r="B108" s="42"/>
      <c r="C108" s="42"/>
      <c r="D108" s="27" t="s">
        <v>297</v>
      </c>
      <c r="E108" s="23" t="s">
        <v>297</v>
      </c>
      <c r="F108" s="25">
        <v>43812</v>
      </c>
      <c r="G108" s="42" t="s">
        <v>79</v>
      </c>
      <c r="H108" s="42" t="s">
        <v>259</v>
      </c>
      <c r="I108" s="27" t="str">
        <f>_xlfn.XLOOKUP(G108,'Item Usage'!$B$59:$B$65,'Item Usage'!$D$59:$D$65,"---",0,1)</f>
        <v>---</v>
      </c>
      <c r="J108" s="23" t="str">
        <f>_xlfn.XLOOKUP(G108,'Item Usage'!$B$70:$B$100,'Item Usage'!$D$70:$D$100,"---",0,1)</f>
        <v>---</v>
      </c>
      <c r="K108" s="42" t="s">
        <v>492</v>
      </c>
      <c r="L108" s="27" t="str" cm="1">
        <f t="array" ref="L108">IF(D108="---","---", SumHH((D108,O108,R108), I108))</f>
        <v>---</v>
      </c>
      <c r="M108" s="23" t="str">
        <f>IF($E108="---","---",($E108+$O108+$R108)-$J108)</f>
        <v>---</v>
      </c>
      <c r="N108" s="69">
        <f>IF($F108="---","---",($F108+$O108+$R108))</f>
        <v>44540</v>
      </c>
      <c r="O108" s="23">
        <v>0</v>
      </c>
      <c r="P108" s="42"/>
      <c r="Q108" s="42" t="s">
        <v>101</v>
      </c>
      <c r="R108" s="23">
        <v>728</v>
      </c>
      <c r="S108" s="63" t="s">
        <v>431</v>
      </c>
      <c r="T108" s="42">
        <v>0</v>
      </c>
      <c r="U108" s="63"/>
      <c r="V108" s="63" t="s">
        <v>432</v>
      </c>
      <c r="W108" s="42" t="s">
        <v>492</v>
      </c>
      <c r="X108" s="63" t="s">
        <v>113</v>
      </c>
      <c r="Y108" s="58">
        <v>3210006</v>
      </c>
      <c r="Z108" s="42" t="s">
        <v>115</v>
      </c>
      <c r="AA108" s="42" t="s">
        <v>327</v>
      </c>
      <c r="AB108" s="23">
        <v>700</v>
      </c>
    </row>
    <row r="109" spans="1:28" x14ac:dyDescent="0.25">
      <c r="A109" s="64"/>
      <c r="B109" s="42"/>
      <c r="C109" s="42"/>
      <c r="D109" s="27" t="s">
        <v>297</v>
      </c>
      <c r="E109" s="23" t="s">
        <v>297</v>
      </c>
      <c r="F109" s="25">
        <v>43812</v>
      </c>
      <c r="G109" s="42" t="s">
        <v>79</v>
      </c>
      <c r="H109" s="42" t="s">
        <v>259</v>
      </c>
      <c r="I109" s="27" t="str">
        <f>_xlfn.XLOOKUP(G109,'Item Usage'!$B$59:$B$65,'Item Usage'!$D$59:$D$65,"---",0,1)</f>
        <v>---</v>
      </c>
      <c r="J109" s="23" t="str">
        <f>_xlfn.XLOOKUP(G109,'Item Usage'!$B$70:$B$100,'Item Usage'!$D$70:$D$100,"---",0,1)</f>
        <v>---</v>
      </c>
      <c r="K109" s="42" t="s">
        <v>492</v>
      </c>
      <c r="L109" s="27" t="str" cm="1">
        <f t="array" ref="L109">IF(D109="---","---", SumHH((D109,O109,R109), I109))</f>
        <v>---</v>
      </c>
      <c r="M109" s="23" t="str">
        <f>IF($E109="---","---",($E109+$O109+$R109)-$J109)</f>
        <v>---</v>
      </c>
      <c r="N109" s="69">
        <f>IF($F109="---","---",($F109+$O109+$R109))</f>
        <v>44540</v>
      </c>
      <c r="O109" s="23">
        <v>0</v>
      </c>
      <c r="P109" s="42"/>
      <c r="Q109" s="42" t="s">
        <v>101</v>
      </c>
      <c r="R109" s="23">
        <v>728</v>
      </c>
      <c r="S109" s="63" t="s">
        <v>434</v>
      </c>
      <c r="T109" s="42">
        <v>0</v>
      </c>
      <c r="U109" s="63"/>
      <c r="V109" s="63" t="s">
        <v>435</v>
      </c>
      <c r="W109" s="42" t="s">
        <v>492</v>
      </c>
      <c r="X109" s="63" t="s">
        <v>113</v>
      </c>
      <c r="Y109" s="58">
        <v>3220006</v>
      </c>
      <c r="Z109" s="42" t="s">
        <v>115</v>
      </c>
      <c r="AA109" s="42" t="s">
        <v>327</v>
      </c>
      <c r="AB109" s="23">
        <v>700</v>
      </c>
    </row>
    <row r="110" spans="1:28" x14ac:dyDescent="0.25">
      <c r="A110" s="64"/>
      <c r="B110" s="42"/>
      <c r="C110" s="42"/>
      <c r="D110" s="27" t="s">
        <v>297</v>
      </c>
      <c r="E110" s="23" t="s">
        <v>297</v>
      </c>
      <c r="F110" s="25">
        <v>44470</v>
      </c>
      <c r="G110" s="42" t="s">
        <v>79</v>
      </c>
      <c r="H110" s="42" t="s">
        <v>259</v>
      </c>
      <c r="I110" s="27" t="str">
        <f>_xlfn.XLOOKUP(G110,'Item Usage'!$B$59:$B$65,'Item Usage'!$D$59:$D$65,"---",0,1)</f>
        <v>---</v>
      </c>
      <c r="J110" s="23" t="str">
        <f>_xlfn.XLOOKUP(G110,'Item Usage'!$B$70:$B$100,'Item Usage'!$D$70:$D$100,"---",0,1)</f>
        <v>---</v>
      </c>
      <c r="K110" s="42" t="s">
        <v>492</v>
      </c>
      <c r="L110" s="27" t="str" cm="1">
        <f t="array" ref="L110">IF(D110="---","---", SumHH((D110,O110,R110), I110))</f>
        <v>---</v>
      </c>
      <c r="M110" s="23" t="str">
        <f>IF($E110="---","---",($E110+$O110+$R110)-$J110)</f>
        <v>---</v>
      </c>
      <c r="N110" s="69">
        <f>IF($F110="---","---",($F110+$O110+$R110))</f>
        <v>44560</v>
      </c>
      <c r="O110" s="23">
        <v>0</v>
      </c>
      <c r="P110" s="42"/>
      <c r="Q110" s="42" t="s">
        <v>101</v>
      </c>
      <c r="R110" s="23">
        <v>90</v>
      </c>
      <c r="S110" s="63" t="s">
        <v>288</v>
      </c>
      <c r="T110" s="42">
        <v>0</v>
      </c>
      <c r="U110" s="63"/>
      <c r="V110" s="63" t="s">
        <v>289</v>
      </c>
      <c r="W110" s="42" t="s">
        <v>492</v>
      </c>
      <c r="X110" s="63" t="s">
        <v>113</v>
      </c>
      <c r="Y110" s="58">
        <v>4322001</v>
      </c>
      <c r="Z110" s="42" t="s">
        <v>115</v>
      </c>
      <c r="AA110" s="42" t="s">
        <v>327</v>
      </c>
      <c r="AB110" s="23">
        <v>81</v>
      </c>
    </row>
    <row r="111" spans="1:28" x14ac:dyDescent="0.25">
      <c r="A111" s="64"/>
      <c r="B111" s="42"/>
      <c r="C111" s="42"/>
      <c r="D111" s="27" t="s">
        <v>297</v>
      </c>
      <c r="E111" s="23" t="s">
        <v>297</v>
      </c>
      <c r="F111" s="25">
        <v>44564</v>
      </c>
      <c r="G111" s="42" t="s">
        <v>79</v>
      </c>
      <c r="H111" s="42" t="s">
        <v>259</v>
      </c>
      <c r="I111" s="27" t="str">
        <f>_xlfn.XLOOKUP(G111,'Item Usage'!$B$59:$B$65,'Item Usage'!$D$59:$D$65,"---",0,1)</f>
        <v>---</v>
      </c>
      <c r="J111" s="23" t="str">
        <f>_xlfn.XLOOKUP(G111,'Item Usage'!$B$70:$B$100,'Item Usage'!$D$70:$D$100,"---",0,1)</f>
        <v>---</v>
      </c>
      <c r="K111" s="42" t="s">
        <v>492</v>
      </c>
      <c r="L111" s="27" t="str" cm="1">
        <f t="array" ref="L111">IF(D111="---","---", SumHH((D111,O111,R111), I111))</f>
        <v>---</v>
      </c>
      <c r="M111" s="23" t="str">
        <f>IF($E111="---","---",($E111+$O111+$R111)-$J111)</f>
        <v>---</v>
      </c>
      <c r="N111" s="69">
        <f>IF($F111="---","---",($F111+$O111+$R111))</f>
        <v>44564</v>
      </c>
      <c r="O111" s="23">
        <v>0</v>
      </c>
      <c r="P111" s="42"/>
      <c r="Q111" s="42" t="s">
        <v>218</v>
      </c>
      <c r="R111" s="23">
        <v>0</v>
      </c>
      <c r="S111" s="63" t="s">
        <v>705</v>
      </c>
      <c r="T111" s="42">
        <v>0</v>
      </c>
      <c r="U111" s="63" t="s">
        <v>708</v>
      </c>
      <c r="V111" s="63" t="s">
        <v>706</v>
      </c>
      <c r="W111" s="42" t="s">
        <v>707</v>
      </c>
      <c r="X111" s="63" t="s">
        <v>709</v>
      </c>
      <c r="Y111" s="58" t="s">
        <v>219</v>
      </c>
      <c r="Z111" s="42" t="s">
        <v>195</v>
      </c>
      <c r="AA111" s="42" t="s">
        <v>328</v>
      </c>
      <c r="AB111" s="23">
        <v>0</v>
      </c>
    </row>
    <row r="112" spans="1:28" x14ac:dyDescent="0.25">
      <c r="A112" s="64"/>
      <c r="B112" s="42"/>
      <c r="C112" s="42"/>
      <c r="D112" s="27" t="s">
        <v>297</v>
      </c>
      <c r="E112" s="23" t="s">
        <v>297</v>
      </c>
      <c r="F112" s="25">
        <v>44565</v>
      </c>
      <c r="G112" s="42" t="s">
        <v>79</v>
      </c>
      <c r="H112" s="42" t="s">
        <v>259</v>
      </c>
      <c r="I112" s="27" t="str">
        <f>_xlfn.XLOOKUP(G112,'Item Usage'!$B$59:$B$65,'Item Usage'!$D$59:$D$65,"---",0,1)</f>
        <v>---</v>
      </c>
      <c r="J112" s="23" t="str">
        <f>_xlfn.XLOOKUP(G112,'Item Usage'!$B$70:$B$100,'Item Usage'!$D$70:$D$100,"---",0,1)</f>
        <v>---</v>
      </c>
      <c r="K112" s="42" t="s">
        <v>492</v>
      </c>
      <c r="L112" s="27" t="str" cm="1">
        <f t="array" ref="L112">IF(D112="---","---", SumHH((D112,O112,R112), I112))</f>
        <v>---</v>
      </c>
      <c r="M112" s="23" t="str">
        <f>IF($E112="---","---",($E112+$O112+$R112)-$J112)</f>
        <v>---</v>
      </c>
      <c r="N112" s="69">
        <f>IF($F112="---","---",($F112+$O112+$R112))</f>
        <v>44565</v>
      </c>
      <c r="O112" s="23">
        <v>0</v>
      </c>
      <c r="P112" s="42"/>
      <c r="Q112" s="42" t="s">
        <v>218</v>
      </c>
      <c r="R112" s="23">
        <v>0</v>
      </c>
      <c r="S112" s="63" t="s">
        <v>705</v>
      </c>
      <c r="T112" s="42">
        <v>0</v>
      </c>
      <c r="U112" s="63" t="s">
        <v>708</v>
      </c>
      <c r="V112" s="63" t="s">
        <v>706</v>
      </c>
      <c r="W112" s="42" t="s">
        <v>711</v>
      </c>
      <c r="X112" s="63" t="s">
        <v>709</v>
      </c>
      <c r="Y112" s="58" t="s">
        <v>219</v>
      </c>
      <c r="Z112" s="42" t="s">
        <v>195</v>
      </c>
      <c r="AA112" s="42" t="s">
        <v>328</v>
      </c>
      <c r="AB112" s="23">
        <v>0</v>
      </c>
    </row>
    <row r="113" spans="1:28" x14ac:dyDescent="0.25">
      <c r="A113" s="64"/>
      <c r="B113" s="42"/>
      <c r="C113" s="42"/>
      <c r="D113" s="27" t="s">
        <v>297</v>
      </c>
      <c r="E113" s="23" t="s">
        <v>297</v>
      </c>
      <c r="F113" s="25">
        <v>44565</v>
      </c>
      <c r="G113" s="42" t="s">
        <v>79</v>
      </c>
      <c r="H113" s="42" t="s">
        <v>259</v>
      </c>
      <c r="I113" s="27" t="str">
        <f>_xlfn.XLOOKUP(G113,'Item Usage'!$B$59:$B$65,'Item Usage'!$D$59:$D$65,"---",0,1)</f>
        <v>---</v>
      </c>
      <c r="J113" s="23" t="str">
        <f>_xlfn.XLOOKUP(G113,'Item Usage'!$B$70:$B$100,'Item Usage'!$D$70:$D$100,"---",0,1)</f>
        <v>---</v>
      </c>
      <c r="K113" s="42" t="s">
        <v>492</v>
      </c>
      <c r="L113" s="27" t="str" cm="1">
        <f t="array" ref="L113">IF(D113="---","---", SumHH((D113,O113,R113), I113))</f>
        <v>---</v>
      </c>
      <c r="M113" s="23" t="str">
        <f>IF($E113="---","---",($E113+$O113+$R113)-$J113)</f>
        <v>---</v>
      </c>
      <c r="N113" s="69">
        <f>IF($F113="---","---",($F113+$O113+$R113))</f>
        <v>44565</v>
      </c>
      <c r="O113" s="23">
        <v>0</v>
      </c>
      <c r="P113" s="42"/>
      <c r="Q113" s="42" t="s">
        <v>218</v>
      </c>
      <c r="R113" s="23">
        <v>0</v>
      </c>
      <c r="S113" s="63" t="s">
        <v>713</v>
      </c>
      <c r="T113" s="42">
        <v>0</v>
      </c>
      <c r="U113" s="63" t="s">
        <v>708</v>
      </c>
      <c r="V113" s="63" t="s">
        <v>714</v>
      </c>
      <c r="W113" s="42" t="s">
        <v>711</v>
      </c>
      <c r="X113" s="63" t="s">
        <v>709</v>
      </c>
      <c r="Y113" s="58" t="s">
        <v>219</v>
      </c>
      <c r="Z113" s="42" t="s">
        <v>195</v>
      </c>
      <c r="AA113" s="42" t="s">
        <v>328</v>
      </c>
      <c r="AB113" s="23">
        <v>0</v>
      </c>
    </row>
    <row r="114" spans="1:28" x14ac:dyDescent="0.25">
      <c r="A114" s="64"/>
      <c r="B114" s="42"/>
      <c r="C114" s="42"/>
      <c r="D114" s="27" t="s">
        <v>297</v>
      </c>
      <c r="E114" s="23" t="s">
        <v>297</v>
      </c>
      <c r="F114" s="25">
        <v>44565</v>
      </c>
      <c r="G114" s="42" t="s">
        <v>79</v>
      </c>
      <c r="H114" s="42" t="s">
        <v>259</v>
      </c>
      <c r="I114" s="27" t="str">
        <f>_xlfn.XLOOKUP(G114,'Item Usage'!$B$59:$B$65,'Item Usage'!$D$59:$D$65,"---",0,1)</f>
        <v>---</v>
      </c>
      <c r="J114" s="23" t="str">
        <f>_xlfn.XLOOKUP(G114,'Item Usage'!$B$70:$B$100,'Item Usage'!$D$70:$D$100,"---",0,1)</f>
        <v>---</v>
      </c>
      <c r="K114" s="42" t="s">
        <v>492</v>
      </c>
      <c r="L114" s="27" t="str" cm="1">
        <f t="array" ref="L114">IF(D114="---","---", SumHH((D114,O114,R114), I114))</f>
        <v>---</v>
      </c>
      <c r="M114" s="23" t="str">
        <f>IF($E114="---","---",($E114+$O114+$R114)-$J114)</f>
        <v>---</v>
      </c>
      <c r="N114" s="69">
        <f>IF($F114="---","---",($F114+$O114+$R114))</f>
        <v>44565</v>
      </c>
      <c r="O114" s="23">
        <v>0</v>
      </c>
      <c r="P114" s="42"/>
      <c r="Q114" s="42" t="s">
        <v>218</v>
      </c>
      <c r="R114" s="23">
        <v>0</v>
      </c>
      <c r="S114" s="63" t="s">
        <v>713</v>
      </c>
      <c r="T114" s="42">
        <v>0</v>
      </c>
      <c r="U114" s="63" t="s">
        <v>708</v>
      </c>
      <c r="V114" s="63" t="s">
        <v>714</v>
      </c>
      <c r="W114" s="42" t="s">
        <v>707</v>
      </c>
      <c r="X114" s="63" t="s">
        <v>709</v>
      </c>
      <c r="Y114" s="58" t="s">
        <v>219</v>
      </c>
      <c r="Z114" s="42" t="s">
        <v>195</v>
      </c>
      <c r="AA114" s="42" t="s">
        <v>328</v>
      </c>
      <c r="AB114" s="23">
        <v>0</v>
      </c>
    </row>
    <row r="115" spans="1:28" x14ac:dyDescent="0.25">
      <c r="A115" s="64"/>
      <c r="B115" s="42"/>
      <c r="C115" s="42"/>
      <c r="D115" s="27" t="s">
        <v>297</v>
      </c>
      <c r="E115" s="23" t="s">
        <v>297</v>
      </c>
      <c r="F115" s="25">
        <v>44390</v>
      </c>
      <c r="G115" s="42" t="s">
        <v>79</v>
      </c>
      <c r="H115" s="42" t="s">
        <v>259</v>
      </c>
      <c r="I115" s="27" t="str">
        <f>_xlfn.XLOOKUP(G115,'Item Usage'!$B$59:$B$65,'Item Usage'!$D$59:$D$65,"---",0,1)</f>
        <v>---</v>
      </c>
      <c r="J115" s="23" t="str">
        <f>_xlfn.XLOOKUP(G115,'Item Usage'!$B$70:$B$100,'Item Usage'!$D$70:$D$100,"---",0,1)</f>
        <v>---</v>
      </c>
      <c r="K115" s="42" t="s">
        <v>492</v>
      </c>
      <c r="L115" s="27" t="str" cm="1">
        <f t="array" ref="L115">IF(D115="---","---", SumHH((D115,O115,R115), I115))</f>
        <v>---</v>
      </c>
      <c r="M115" s="23" t="str">
        <f>IF($E115="---","---",($E115+$O115+$R115)-$J115)</f>
        <v>---</v>
      </c>
      <c r="N115" s="69">
        <f>IF($F115="---","---",($F115+$O115+$R115))</f>
        <v>44570</v>
      </c>
      <c r="O115" s="23">
        <v>0</v>
      </c>
      <c r="P115" s="42"/>
      <c r="Q115" s="42" t="s">
        <v>101</v>
      </c>
      <c r="R115" s="23">
        <v>180</v>
      </c>
      <c r="S115" s="63" t="s">
        <v>715</v>
      </c>
      <c r="T115" s="42">
        <v>0</v>
      </c>
      <c r="U115" s="63"/>
      <c r="V115" s="63" t="s">
        <v>716</v>
      </c>
      <c r="W115" s="42" t="s">
        <v>492</v>
      </c>
      <c r="X115" s="63" t="s">
        <v>113</v>
      </c>
      <c r="Y115" s="58" t="s">
        <v>717</v>
      </c>
      <c r="Z115" s="42" t="s">
        <v>115</v>
      </c>
      <c r="AA115" s="42" t="s">
        <v>327</v>
      </c>
      <c r="AB115" s="23">
        <v>166</v>
      </c>
    </row>
    <row r="116" spans="1:28" x14ac:dyDescent="0.25">
      <c r="A116" s="64"/>
      <c r="B116" s="42"/>
      <c r="C116" s="42"/>
      <c r="D116" s="27" t="s">
        <v>297</v>
      </c>
      <c r="E116" s="23" t="s">
        <v>297</v>
      </c>
      <c r="F116" s="25">
        <v>44390</v>
      </c>
      <c r="G116" s="42" t="s">
        <v>79</v>
      </c>
      <c r="H116" s="42" t="s">
        <v>259</v>
      </c>
      <c r="I116" s="27" t="str">
        <f>_xlfn.XLOOKUP(G116,'Item Usage'!$B$59:$B$65,'Item Usage'!$D$59:$D$65,"---",0,1)</f>
        <v>---</v>
      </c>
      <c r="J116" s="23" t="str">
        <f>_xlfn.XLOOKUP(G116,'Item Usage'!$B$70:$B$100,'Item Usage'!$D$70:$D$100,"---",0,1)</f>
        <v>---</v>
      </c>
      <c r="K116" s="42" t="s">
        <v>492</v>
      </c>
      <c r="L116" s="27" t="str" cm="1">
        <f t="array" ref="L116">IF(D116="---","---", SumHH((D116,O116,R116), I116))</f>
        <v>---</v>
      </c>
      <c r="M116" s="23" t="str">
        <f>IF($E116="---","---",($E116+$O116+$R116)-$J116)</f>
        <v>---</v>
      </c>
      <c r="N116" s="69">
        <f>IF($F116="---","---",($F116+$O116+$R116))</f>
        <v>44570</v>
      </c>
      <c r="O116" s="23">
        <v>0</v>
      </c>
      <c r="P116" s="42"/>
      <c r="Q116" s="42" t="s">
        <v>101</v>
      </c>
      <c r="R116" s="23">
        <v>180</v>
      </c>
      <c r="S116" s="63" t="s">
        <v>720</v>
      </c>
      <c r="T116" s="42">
        <v>0</v>
      </c>
      <c r="U116" s="63"/>
      <c r="V116" s="63" t="s">
        <v>721</v>
      </c>
      <c r="W116" s="42" t="s">
        <v>492</v>
      </c>
      <c r="X116" s="63" t="s">
        <v>113</v>
      </c>
      <c r="Y116" s="58" t="s">
        <v>722</v>
      </c>
      <c r="Z116" s="42" t="s">
        <v>115</v>
      </c>
      <c r="AA116" s="42" t="s">
        <v>327</v>
      </c>
      <c r="AB116" s="23">
        <v>166</v>
      </c>
    </row>
    <row r="117" spans="1:28" x14ac:dyDescent="0.25">
      <c r="A117" s="64"/>
      <c r="B117" s="42"/>
      <c r="C117" s="42"/>
      <c r="D117" s="27" t="s">
        <v>297</v>
      </c>
      <c r="E117" s="23" t="s">
        <v>297</v>
      </c>
      <c r="F117" s="25">
        <v>44390</v>
      </c>
      <c r="G117" s="42" t="s">
        <v>79</v>
      </c>
      <c r="H117" s="42" t="s">
        <v>259</v>
      </c>
      <c r="I117" s="27" t="str">
        <f>_xlfn.XLOOKUP(G117,'Item Usage'!$B$59:$B$65,'Item Usage'!$D$59:$D$65,"---",0,1)</f>
        <v>---</v>
      </c>
      <c r="J117" s="23" t="str">
        <f>_xlfn.XLOOKUP(G117,'Item Usage'!$B$70:$B$100,'Item Usage'!$D$70:$D$100,"---",0,1)</f>
        <v>---</v>
      </c>
      <c r="K117" s="42" t="s">
        <v>492</v>
      </c>
      <c r="L117" s="27" t="str" cm="1">
        <f t="array" ref="L117">IF(D117="---","---", SumHH((D117,O117,R117), I117))</f>
        <v>---</v>
      </c>
      <c r="M117" s="23" t="str">
        <f>IF($E117="---","---",($E117+$O117+$R117)-$J117)</f>
        <v>---</v>
      </c>
      <c r="N117" s="69">
        <f>IF($F117="---","---",($F117+$O117+$R117))</f>
        <v>44572</v>
      </c>
      <c r="O117" s="23">
        <v>0</v>
      </c>
      <c r="P117" s="42"/>
      <c r="Q117" s="42" t="s">
        <v>101</v>
      </c>
      <c r="R117" s="23">
        <v>182</v>
      </c>
      <c r="S117" s="63" t="s">
        <v>281</v>
      </c>
      <c r="T117" s="42">
        <v>0</v>
      </c>
      <c r="U117" s="63"/>
      <c r="V117" s="63" t="s">
        <v>282</v>
      </c>
      <c r="W117" s="42" t="s">
        <v>492</v>
      </c>
      <c r="X117" s="63" t="s">
        <v>113</v>
      </c>
      <c r="Y117" s="58" t="s">
        <v>283</v>
      </c>
      <c r="Z117" s="42" t="s">
        <v>115</v>
      </c>
      <c r="AA117" s="42" t="s">
        <v>327</v>
      </c>
      <c r="AB117" s="23">
        <v>168</v>
      </c>
    </row>
    <row r="118" spans="1:28" x14ac:dyDescent="0.25">
      <c r="A118" s="64"/>
      <c r="B118" s="42"/>
      <c r="C118" s="42"/>
      <c r="D118" s="27" t="s">
        <v>297</v>
      </c>
      <c r="E118" s="23" t="s">
        <v>297</v>
      </c>
      <c r="F118" s="25">
        <v>42388</v>
      </c>
      <c r="G118" s="42" t="s">
        <v>79</v>
      </c>
      <c r="H118" s="42" t="s">
        <v>259</v>
      </c>
      <c r="I118" s="27" t="str">
        <f>_xlfn.XLOOKUP(G118,'Item Usage'!$B$59:$B$65,'Item Usage'!$D$59:$D$65,"---",0,1)</f>
        <v>---</v>
      </c>
      <c r="J118" s="23" t="str">
        <f>_xlfn.XLOOKUP(G118,'Item Usage'!$B$70:$B$100,'Item Usage'!$D$70:$D$100,"---",0,1)</f>
        <v>---</v>
      </c>
      <c r="K118" s="42" t="s">
        <v>492</v>
      </c>
      <c r="L118" s="27" t="str" cm="1">
        <f t="array" ref="L118">IF(D118="---","---", SumHH((D118,O118,R118), I118))</f>
        <v>---</v>
      </c>
      <c r="M118" s="23" t="str">
        <f>IF($E118="---","---",($E118+$O118+$R118)-$J118)</f>
        <v>---</v>
      </c>
      <c r="N118" s="69">
        <f>IF($F118="---","---",($F118+$O118+$R118))</f>
        <v>44572</v>
      </c>
      <c r="O118" s="23">
        <v>0</v>
      </c>
      <c r="P118" s="42"/>
      <c r="Q118" s="42" t="s">
        <v>218</v>
      </c>
      <c r="R118" s="23">
        <v>2184</v>
      </c>
      <c r="S118" s="63" t="s">
        <v>457</v>
      </c>
      <c r="T118" s="42">
        <v>0</v>
      </c>
      <c r="U118" s="63"/>
      <c r="V118" s="63" t="s">
        <v>458</v>
      </c>
      <c r="W118" s="42" t="s">
        <v>723</v>
      </c>
      <c r="X118" s="63" t="s">
        <v>459</v>
      </c>
      <c r="Y118" s="58" t="s">
        <v>219</v>
      </c>
      <c r="Z118" s="42" t="s">
        <v>115</v>
      </c>
      <c r="AA118" s="42" t="s">
        <v>328</v>
      </c>
      <c r="AB118" s="23">
        <v>2154</v>
      </c>
    </row>
    <row r="119" spans="1:28" x14ac:dyDescent="0.25">
      <c r="A119" s="64"/>
      <c r="B119" s="42"/>
      <c r="C119" s="42"/>
      <c r="D119" s="27" t="s">
        <v>297</v>
      </c>
      <c r="E119" s="23" t="s">
        <v>297</v>
      </c>
      <c r="F119" s="25">
        <v>42388</v>
      </c>
      <c r="G119" s="42" t="s">
        <v>79</v>
      </c>
      <c r="H119" s="42" t="s">
        <v>259</v>
      </c>
      <c r="I119" s="27" t="str">
        <f>_xlfn.XLOOKUP(G119,'Item Usage'!$B$59:$B$65,'Item Usage'!$D$59:$D$65,"---",0,1)</f>
        <v>---</v>
      </c>
      <c r="J119" s="23" t="str">
        <f>_xlfn.XLOOKUP(G119,'Item Usage'!$B$70:$B$100,'Item Usage'!$D$70:$D$100,"---",0,1)</f>
        <v>---</v>
      </c>
      <c r="K119" s="42" t="s">
        <v>492</v>
      </c>
      <c r="L119" s="27" t="str" cm="1">
        <f t="array" ref="L119">IF(D119="---","---", SumHH((D119,O119,R119), I119))</f>
        <v>---</v>
      </c>
      <c r="M119" s="23" t="str">
        <f>IF($E119="---","---",($E119+$O119+$R119)-$J119)</f>
        <v>---</v>
      </c>
      <c r="N119" s="69">
        <f>IF($F119="---","---",($F119+$O119+$R119))</f>
        <v>44572</v>
      </c>
      <c r="O119" s="23">
        <v>0</v>
      </c>
      <c r="P119" s="42"/>
      <c r="Q119" s="42" t="s">
        <v>218</v>
      </c>
      <c r="R119" s="23">
        <v>2184</v>
      </c>
      <c r="S119" s="63" t="s">
        <v>457</v>
      </c>
      <c r="T119" s="42">
        <v>0</v>
      </c>
      <c r="U119" s="63"/>
      <c r="V119" s="63" t="s">
        <v>458</v>
      </c>
      <c r="W119" s="42" t="s">
        <v>725</v>
      </c>
      <c r="X119" s="63" t="s">
        <v>459</v>
      </c>
      <c r="Y119" s="58" t="s">
        <v>219</v>
      </c>
      <c r="Z119" s="42" t="s">
        <v>115</v>
      </c>
      <c r="AA119" s="42" t="s">
        <v>328</v>
      </c>
      <c r="AB119" s="23">
        <v>2154</v>
      </c>
    </row>
    <row r="120" spans="1:28" x14ac:dyDescent="0.25">
      <c r="A120" s="64"/>
      <c r="B120" s="42"/>
      <c r="C120" s="42"/>
      <c r="D120" s="27" t="s">
        <v>297</v>
      </c>
      <c r="E120" s="23" t="s">
        <v>297</v>
      </c>
      <c r="F120" s="25">
        <v>42388</v>
      </c>
      <c r="G120" s="42" t="s">
        <v>79</v>
      </c>
      <c r="H120" s="42" t="s">
        <v>259</v>
      </c>
      <c r="I120" s="27" t="str">
        <f>_xlfn.XLOOKUP(G120,'Item Usage'!$B$59:$B$65,'Item Usage'!$D$59:$D$65,"---",0,1)</f>
        <v>---</v>
      </c>
      <c r="J120" s="23" t="str">
        <f>_xlfn.XLOOKUP(G120,'Item Usage'!$B$70:$B$100,'Item Usage'!$D$70:$D$100,"---",0,1)</f>
        <v>---</v>
      </c>
      <c r="K120" s="42" t="s">
        <v>492</v>
      </c>
      <c r="L120" s="27" t="str" cm="1">
        <f t="array" ref="L120">IF(D120="---","---", SumHH((D120,O120,R120), I120))</f>
        <v>---</v>
      </c>
      <c r="M120" s="23" t="str">
        <f>IF($E120="---","---",($E120+$O120+$R120)-$J120)</f>
        <v>---</v>
      </c>
      <c r="N120" s="69">
        <f>IF($F120="---","---",($F120+$O120+$R120))</f>
        <v>44572</v>
      </c>
      <c r="O120" s="23">
        <v>0</v>
      </c>
      <c r="P120" s="42"/>
      <c r="Q120" s="42" t="s">
        <v>218</v>
      </c>
      <c r="R120" s="23">
        <v>2184</v>
      </c>
      <c r="S120" s="63" t="s">
        <v>457</v>
      </c>
      <c r="T120" s="42">
        <v>0</v>
      </c>
      <c r="U120" s="63"/>
      <c r="V120" s="63" t="s">
        <v>458</v>
      </c>
      <c r="W120" s="42" t="s">
        <v>726</v>
      </c>
      <c r="X120" s="63" t="s">
        <v>459</v>
      </c>
      <c r="Y120" s="58" t="s">
        <v>219</v>
      </c>
      <c r="Z120" s="42" t="s">
        <v>115</v>
      </c>
      <c r="AA120" s="42" t="s">
        <v>328</v>
      </c>
      <c r="AB120" s="23">
        <v>2154</v>
      </c>
    </row>
    <row r="121" spans="1:28" x14ac:dyDescent="0.25">
      <c r="A121" s="64"/>
      <c r="B121" s="42"/>
      <c r="C121" s="42"/>
      <c r="D121" s="27" t="s">
        <v>297</v>
      </c>
      <c r="E121" s="23" t="s">
        <v>297</v>
      </c>
      <c r="F121" s="25">
        <v>42388</v>
      </c>
      <c r="G121" s="42" t="s">
        <v>79</v>
      </c>
      <c r="H121" s="42" t="s">
        <v>259</v>
      </c>
      <c r="I121" s="27" t="str">
        <f>_xlfn.XLOOKUP(G121,'Item Usage'!$B$59:$B$65,'Item Usage'!$D$59:$D$65,"---",0,1)</f>
        <v>---</v>
      </c>
      <c r="J121" s="23" t="str">
        <f>_xlfn.XLOOKUP(G121,'Item Usage'!$B$70:$B$100,'Item Usage'!$D$70:$D$100,"---",0,1)</f>
        <v>---</v>
      </c>
      <c r="K121" s="42" t="s">
        <v>492</v>
      </c>
      <c r="L121" s="27" t="str" cm="1">
        <f t="array" ref="L121">IF(D121="---","---", SumHH((D121,O121,R121), I121))</f>
        <v>---</v>
      </c>
      <c r="M121" s="23" t="str">
        <f>IF($E121="---","---",($E121+$O121+$R121)-$J121)</f>
        <v>---</v>
      </c>
      <c r="N121" s="69">
        <f>IF($F121="---","---",($F121+$O121+$R121))</f>
        <v>44572</v>
      </c>
      <c r="O121" s="23">
        <v>0</v>
      </c>
      <c r="P121" s="42"/>
      <c r="Q121" s="42" t="s">
        <v>218</v>
      </c>
      <c r="R121" s="23">
        <v>2184</v>
      </c>
      <c r="S121" s="63" t="s">
        <v>457</v>
      </c>
      <c r="T121" s="42">
        <v>0</v>
      </c>
      <c r="U121" s="63"/>
      <c r="V121" s="63" t="s">
        <v>458</v>
      </c>
      <c r="W121" s="42" t="s">
        <v>727</v>
      </c>
      <c r="X121" s="63" t="s">
        <v>459</v>
      </c>
      <c r="Y121" s="58" t="s">
        <v>219</v>
      </c>
      <c r="Z121" s="42" t="s">
        <v>115</v>
      </c>
      <c r="AA121" s="42" t="s">
        <v>328</v>
      </c>
      <c r="AB121" s="23">
        <v>2154</v>
      </c>
    </row>
    <row r="122" spans="1:28" x14ac:dyDescent="0.25">
      <c r="A122" s="64"/>
      <c r="B122" s="42"/>
      <c r="C122" s="42"/>
      <c r="D122" s="27" t="s">
        <v>297</v>
      </c>
      <c r="E122" s="23" t="s">
        <v>297</v>
      </c>
      <c r="F122" s="25">
        <v>44398</v>
      </c>
      <c r="G122" s="42" t="s">
        <v>79</v>
      </c>
      <c r="H122" s="42" t="s">
        <v>259</v>
      </c>
      <c r="I122" s="27" t="str">
        <f>_xlfn.XLOOKUP(G122,'Item Usage'!$B$59:$B$65,'Item Usage'!$D$59:$D$65,"---",0,1)</f>
        <v>---</v>
      </c>
      <c r="J122" s="23" t="str">
        <f>_xlfn.XLOOKUP(G122,'Item Usage'!$B$70:$B$100,'Item Usage'!$D$70:$D$100,"---",0,1)</f>
        <v>---</v>
      </c>
      <c r="K122" s="42" t="s">
        <v>492</v>
      </c>
      <c r="L122" s="27" t="str" cm="1">
        <f t="array" ref="L122">IF(D122="---","---", SumHH((D122,O122,R122), I122))</f>
        <v>---</v>
      </c>
      <c r="M122" s="23" t="str">
        <f>IF($E122="---","---",($E122+$O122+$R122)-$J122)</f>
        <v>---</v>
      </c>
      <c r="N122" s="69">
        <f>IF($F122="---","---",($F122+$O122+$R122))</f>
        <v>44580</v>
      </c>
      <c r="O122" s="23">
        <v>0</v>
      </c>
      <c r="P122" s="42"/>
      <c r="Q122" s="42" t="s">
        <v>218</v>
      </c>
      <c r="R122" s="23">
        <v>182</v>
      </c>
      <c r="S122" s="63" t="s">
        <v>450</v>
      </c>
      <c r="T122" s="42">
        <v>0</v>
      </c>
      <c r="U122" s="63" t="s">
        <v>161</v>
      </c>
      <c r="V122" s="63" t="s">
        <v>451</v>
      </c>
      <c r="W122" s="42" t="s">
        <v>728</v>
      </c>
      <c r="X122" s="63" t="s">
        <v>452</v>
      </c>
      <c r="Y122" s="58" t="s">
        <v>219</v>
      </c>
      <c r="Z122" s="42">
        <v>98230</v>
      </c>
      <c r="AA122" s="42" t="s">
        <v>328</v>
      </c>
      <c r="AB122" s="23">
        <v>164</v>
      </c>
    </row>
    <row r="123" spans="1:28" x14ac:dyDescent="0.25">
      <c r="A123" s="64"/>
      <c r="B123" s="42"/>
      <c r="C123" s="42"/>
      <c r="D123" s="27" t="s">
        <v>297</v>
      </c>
      <c r="E123" s="23" t="s">
        <v>297</v>
      </c>
      <c r="F123" s="25">
        <v>44399</v>
      </c>
      <c r="G123" s="42" t="s">
        <v>79</v>
      </c>
      <c r="H123" s="42" t="s">
        <v>259</v>
      </c>
      <c r="I123" s="27" t="str">
        <f>_xlfn.XLOOKUP(G123,'Item Usage'!$B$59:$B$65,'Item Usage'!$D$59:$D$65,"---",0,1)</f>
        <v>---</v>
      </c>
      <c r="J123" s="23" t="str">
        <f>_xlfn.XLOOKUP(G123,'Item Usage'!$B$70:$B$100,'Item Usage'!$D$70:$D$100,"---",0,1)</f>
        <v>---</v>
      </c>
      <c r="K123" s="42" t="s">
        <v>492</v>
      </c>
      <c r="L123" s="27" t="str" cm="1">
        <f t="array" ref="L123">IF(D123="---","---", SumHH((D123,O123,R123), I123))</f>
        <v>---</v>
      </c>
      <c r="M123" s="23" t="str">
        <f>IF($E123="---","---",($E123+$O123+$R123)-$J123)</f>
        <v>---</v>
      </c>
      <c r="N123" s="69">
        <f>IF($F123="---","---",($F123+$O123+$R123))</f>
        <v>44581</v>
      </c>
      <c r="O123" s="23">
        <v>0</v>
      </c>
      <c r="P123" s="42"/>
      <c r="Q123" s="42" t="s">
        <v>101</v>
      </c>
      <c r="R123" s="23">
        <v>182</v>
      </c>
      <c r="S123" s="63" t="s">
        <v>730</v>
      </c>
      <c r="T123" s="42">
        <v>0</v>
      </c>
      <c r="U123" s="63"/>
      <c r="V123" s="63" t="s">
        <v>731</v>
      </c>
      <c r="W123" s="42" t="s">
        <v>492</v>
      </c>
      <c r="X123" s="63" t="s">
        <v>113</v>
      </c>
      <c r="Y123" s="58">
        <v>1221003</v>
      </c>
      <c r="Z123" s="42" t="s">
        <v>115</v>
      </c>
      <c r="AA123" s="42" t="s">
        <v>327</v>
      </c>
      <c r="AB123" s="23">
        <v>167</v>
      </c>
    </row>
    <row r="124" spans="1:28" x14ac:dyDescent="0.25">
      <c r="A124" s="64"/>
      <c r="B124" s="42"/>
      <c r="C124" s="42"/>
      <c r="D124" s="27" t="s">
        <v>297</v>
      </c>
      <c r="E124" s="23" t="s">
        <v>297</v>
      </c>
      <c r="F124" s="25">
        <v>44225</v>
      </c>
      <c r="G124" s="42" t="s">
        <v>79</v>
      </c>
      <c r="H124" s="42" t="s">
        <v>259</v>
      </c>
      <c r="I124" s="27" t="str">
        <f>_xlfn.XLOOKUP(G124,'Item Usage'!$B$59:$B$65,'Item Usage'!$D$59:$D$65,"---",0,1)</f>
        <v>---</v>
      </c>
      <c r="J124" s="23" t="str">
        <f>_xlfn.XLOOKUP(G124,'Item Usage'!$B$70:$B$100,'Item Usage'!$D$70:$D$100,"---",0,1)</f>
        <v>---</v>
      </c>
      <c r="K124" s="42" t="s">
        <v>492</v>
      </c>
      <c r="L124" s="27" t="str" cm="1">
        <f t="array" ref="L124">IF(D124="---","---", SumHH((D124,O124,R124), I124))</f>
        <v>---</v>
      </c>
      <c r="M124" s="23" t="str">
        <f>IF($E124="---","---",($E124+$O124+$R124)-$J124)</f>
        <v>---</v>
      </c>
      <c r="N124" s="69">
        <f>IF($F124="---","---",($F124+$O124+$R124))</f>
        <v>44589</v>
      </c>
      <c r="O124" s="23">
        <v>0</v>
      </c>
      <c r="P124" s="42"/>
      <c r="Q124" s="42" t="s">
        <v>101</v>
      </c>
      <c r="R124" s="23">
        <v>364</v>
      </c>
      <c r="S124" s="63" t="s">
        <v>733</v>
      </c>
      <c r="T124" s="42">
        <v>0</v>
      </c>
      <c r="U124" s="63"/>
      <c r="V124" s="63" t="s">
        <v>734</v>
      </c>
      <c r="W124" s="42" t="s">
        <v>505</v>
      </c>
      <c r="X124" s="63" t="s">
        <v>105</v>
      </c>
      <c r="Y124" s="58">
        <v>7920003</v>
      </c>
      <c r="Z124" s="42">
        <v>64643</v>
      </c>
      <c r="AA124" s="42" t="s">
        <v>326</v>
      </c>
      <c r="AB124" s="23">
        <v>334</v>
      </c>
    </row>
    <row r="125" spans="1:28" x14ac:dyDescent="0.25">
      <c r="A125" s="64"/>
      <c r="B125" s="42"/>
      <c r="C125" s="42"/>
      <c r="D125" s="27" t="s">
        <v>297</v>
      </c>
      <c r="E125" s="23" t="s">
        <v>297</v>
      </c>
      <c r="F125" s="25">
        <v>44225</v>
      </c>
      <c r="G125" s="42" t="s">
        <v>79</v>
      </c>
      <c r="H125" s="42" t="s">
        <v>259</v>
      </c>
      <c r="I125" s="27" t="str">
        <f>_xlfn.XLOOKUP(G125,'Item Usage'!$B$59:$B$65,'Item Usage'!$D$59:$D$65,"---",0,1)</f>
        <v>---</v>
      </c>
      <c r="J125" s="23" t="str">
        <f>_xlfn.XLOOKUP(G125,'Item Usage'!$B$70:$B$100,'Item Usage'!$D$70:$D$100,"---",0,1)</f>
        <v>---</v>
      </c>
      <c r="K125" s="42" t="s">
        <v>492</v>
      </c>
      <c r="L125" s="27" t="str" cm="1">
        <f t="array" ref="L125">IF(D125="---","---", SumHH((D125,O125,R125), I125))</f>
        <v>---</v>
      </c>
      <c r="M125" s="23" t="str">
        <f>IF($E125="---","---",($E125+$O125+$R125)-$J125)</f>
        <v>---</v>
      </c>
      <c r="N125" s="69">
        <f>IF($F125="---","---",($F125+$O125+$R125))</f>
        <v>44589</v>
      </c>
      <c r="O125" s="23">
        <v>0</v>
      </c>
      <c r="P125" s="42"/>
      <c r="Q125" s="42" t="s">
        <v>101</v>
      </c>
      <c r="R125" s="23">
        <v>364</v>
      </c>
      <c r="S125" s="63" t="s">
        <v>448</v>
      </c>
      <c r="T125" s="42">
        <v>0</v>
      </c>
      <c r="U125" s="63"/>
      <c r="V125" s="63" t="s">
        <v>449</v>
      </c>
      <c r="W125" s="42" t="s">
        <v>492</v>
      </c>
      <c r="X125" s="63" t="s">
        <v>113</v>
      </c>
      <c r="Y125" s="58">
        <v>6710003</v>
      </c>
      <c r="Z125" s="42" t="s">
        <v>115</v>
      </c>
      <c r="AA125" s="42" t="s">
        <v>327</v>
      </c>
      <c r="AB125" s="23">
        <v>334</v>
      </c>
    </row>
    <row r="126" spans="1:28" x14ac:dyDescent="0.25">
      <c r="A126" s="64"/>
      <c r="B126" s="42"/>
      <c r="C126" s="42"/>
      <c r="D126" s="27" t="s">
        <v>297</v>
      </c>
      <c r="E126" s="23" t="s">
        <v>297</v>
      </c>
      <c r="F126" s="25">
        <v>44225</v>
      </c>
      <c r="G126" s="42" t="s">
        <v>79</v>
      </c>
      <c r="H126" s="42" t="s">
        <v>259</v>
      </c>
      <c r="I126" s="27" t="str">
        <f>_xlfn.XLOOKUP(G126,'Item Usage'!$B$59:$B$65,'Item Usage'!$D$59:$D$65,"---",0,1)</f>
        <v>---</v>
      </c>
      <c r="J126" s="23" t="str">
        <f>_xlfn.XLOOKUP(G126,'Item Usage'!$B$70:$B$100,'Item Usage'!$D$70:$D$100,"---",0,1)</f>
        <v>---</v>
      </c>
      <c r="K126" s="42" t="s">
        <v>492</v>
      </c>
      <c r="L126" s="27" t="str" cm="1">
        <f t="array" ref="L126">IF(D126="---","---", SumHH((D126,O126,R126), I126))</f>
        <v>---</v>
      </c>
      <c r="M126" s="23" t="str">
        <f>IF($E126="---","---",($E126+$O126+$R126)-$J126)</f>
        <v>---</v>
      </c>
      <c r="N126" s="69">
        <f>IF($F126="---","---",($F126+$O126+$R126))</f>
        <v>44589</v>
      </c>
      <c r="O126" s="23">
        <v>0</v>
      </c>
      <c r="P126" s="42"/>
      <c r="Q126" s="42" t="s">
        <v>101</v>
      </c>
      <c r="R126" s="23">
        <v>364</v>
      </c>
      <c r="S126" s="63" t="s">
        <v>736</v>
      </c>
      <c r="T126" s="42">
        <v>0</v>
      </c>
      <c r="U126" s="63"/>
      <c r="V126" s="63" t="s">
        <v>737</v>
      </c>
      <c r="W126" s="42" t="s">
        <v>492</v>
      </c>
      <c r="X126" s="63" t="s">
        <v>113</v>
      </c>
      <c r="Y126" s="58">
        <v>9561012</v>
      </c>
      <c r="Z126" s="42" t="s">
        <v>115</v>
      </c>
      <c r="AA126" s="42" t="s">
        <v>327</v>
      </c>
      <c r="AB126" s="23">
        <v>334</v>
      </c>
    </row>
    <row r="127" spans="1:28" x14ac:dyDescent="0.25">
      <c r="A127" s="64"/>
      <c r="B127" s="42"/>
      <c r="C127" s="42"/>
      <c r="D127" s="27" t="s">
        <v>297</v>
      </c>
      <c r="E127" s="23" t="s">
        <v>297</v>
      </c>
      <c r="F127" s="25">
        <v>44225</v>
      </c>
      <c r="G127" s="42" t="s">
        <v>79</v>
      </c>
      <c r="H127" s="42" t="s">
        <v>259</v>
      </c>
      <c r="I127" s="27" t="str">
        <f>_xlfn.XLOOKUP(G127,'Item Usage'!$B$59:$B$65,'Item Usage'!$D$59:$D$65,"---",0,1)</f>
        <v>---</v>
      </c>
      <c r="J127" s="23" t="str">
        <f>_xlfn.XLOOKUP(G127,'Item Usage'!$B$70:$B$100,'Item Usage'!$D$70:$D$100,"---",0,1)</f>
        <v>---</v>
      </c>
      <c r="K127" s="42" t="s">
        <v>492</v>
      </c>
      <c r="L127" s="27" t="str" cm="1">
        <f t="array" ref="L127">IF(D127="---","---", SumHH((D127,O127,R127), I127))</f>
        <v>---</v>
      </c>
      <c r="M127" s="23" t="str">
        <f>IF($E127="---","---",($E127+$O127+$R127)-$J127)</f>
        <v>---</v>
      </c>
      <c r="N127" s="69">
        <f>IF($F127="---","---",($F127+$O127+$R127))</f>
        <v>44590</v>
      </c>
      <c r="O127" s="23">
        <v>0</v>
      </c>
      <c r="P127" s="42"/>
      <c r="Q127" s="42" t="s">
        <v>101</v>
      </c>
      <c r="R127" s="23">
        <v>365</v>
      </c>
      <c r="S127" s="63" t="s">
        <v>739</v>
      </c>
      <c r="T127" s="42">
        <v>0</v>
      </c>
      <c r="U127" s="63"/>
      <c r="V127" s="63" t="s">
        <v>740</v>
      </c>
      <c r="W127" s="42" t="s">
        <v>741</v>
      </c>
      <c r="X127" s="63" t="s">
        <v>743</v>
      </c>
      <c r="Y127" s="58">
        <v>6730002</v>
      </c>
      <c r="Z127" s="42" t="s">
        <v>115</v>
      </c>
      <c r="AA127" s="42" t="s">
        <v>328</v>
      </c>
      <c r="AB127" s="23">
        <v>335</v>
      </c>
    </row>
    <row r="128" spans="1:28" x14ac:dyDescent="0.25">
      <c r="A128" s="64"/>
      <c r="B128" s="42"/>
      <c r="C128" s="42"/>
      <c r="D128" s="27" t="s">
        <v>297</v>
      </c>
      <c r="E128" s="23" t="s">
        <v>297</v>
      </c>
      <c r="F128" s="25">
        <v>43792</v>
      </c>
      <c r="G128" s="42" t="s">
        <v>79</v>
      </c>
      <c r="H128" s="42" t="s">
        <v>259</v>
      </c>
      <c r="I128" s="27" t="str">
        <f>_xlfn.XLOOKUP(G128,'Item Usage'!$B$59:$B$65,'Item Usage'!$D$59:$D$65,"---",0,1)</f>
        <v>---</v>
      </c>
      <c r="J128" s="23" t="str">
        <f>_xlfn.XLOOKUP(G128,'Item Usage'!$B$70:$B$100,'Item Usage'!$D$70:$D$100,"---",0,1)</f>
        <v>---</v>
      </c>
      <c r="K128" s="42" t="s">
        <v>492</v>
      </c>
      <c r="L128" s="27" t="str" cm="1">
        <f t="array" ref="L128">IF(D128="---","---", SumHH((D128,O128,R128), I128))</f>
        <v>---</v>
      </c>
      <c r="M128" s="23" t="str">
        <f>IF($E128="---","---",($E128+$O128+$R128)-$J128)</f>
        <v>---</v>
      </c>
      <c r="N128" s="117"/>
      <c r="O128" s="23">
        <v>0</v>
      </c>
      <c r="P128" s="42"/>
      <c r="Q128" s="42" t="s">
        <v>101</v>
      </c>
      <c r="R128" s="23">
        <v>728</v>
      </c>
      <c r="S128" s="63" t="s">
        <v>437</v>
      </c>
      <c r="T128" s="42">
        <v>0</v>
      </c>
      <c r="U128" s="63"/>
      <c r="V128" s="63" t="s">
        <v>438</v>
      </c>
      <c r="W128" s="42" t="s">
        <v>541</v>
      </c>
      <c r="X128" s="63" t="s">
        <v>148</v>
      </c>
      <c r="Y128" s="58">
        <v>6521006</v>
      </c>
      <c r="Z128" s="42" t="s">
        <v>115</v>
      </c>
      <c r="AA128" s="42" t="s">
        <v>328</v>
      </c>
      <c r="AB128" s="23">
        <v>700</v>
      </c>
    </row>
    <row r="129" spans="1:28" x14ac:dyDescent="0.25">
      <c r="A129" s="64"/>
      <c r="B129" s="42"/>
      <c r="C129" s="42"/>
      <c r="D129" s="27" t="s">
        <v>297</v>
      </c>
      <c r="E129" s="23">
        <v>-3.3599999999999994</v>
      </c>
      <c r="F129" s="25" t="s">
        <v>297</v>
      </c>
      <c r="G129" s="42" t="s">
        <v>55</v>
      </c>
      <c r="H129" s="42" t="s">
        <v>54</v>
      </c>
      <c r="I129" s="27" t="str">
        <f>_xlfn.XLOOKUP(G129,'Item Usage'!$B$59:$B$65,'Item Usage'!$D$59:$D$65,"---",0,1)</f>
        <v>---</v>
      </c>
      <c r="J129" s="23">
        <f>_xlfn.XLOOKUP(G129,'Item Usage'!$B$70:$B$100,'Item Usage'!$D$70:$D$100,"---",0,1)</f>
        <v>3.36</v>
      </c>
      <c r="K129" s="42" t="s">
        <v>492</v>
      </c>
      <c r="L129" s="27" t="str" cm="1">
        <f t="array" ref="L129">IF(D129="---","---", SumHH((D129,O129,R129), I129))</f>
        <v>---</v>
      </c>
      <c r="M129" s="23">
        <f>IF($E129="---","---",($E129+$O129+$R129)-$J129)</f>
        <v>113.28</v>
      </c>
      <c r="N129" s="69" t="str">
        <f>IF($F129="---","---",($F129+$O129+$R129))</f>
        <v>---</v>
      </c>
      <c r="O129" s="23">
        <v>0</v>
      </c>
      <c r="P129" s="42"/>
      <c r="Q129" s="42" t="s">
        <v>101</v>
      </c>
      <c r="R129" s="23">
        <v>120</v>
      </c>
      <c r="S129" s="63" t="s">
        <v>245</v>
      </c>
      <c r="T129" s="42">
        <v>0</v>
      </c>
      <c r="U129" s="63"/>
      <c r="V129" s="63" t="s">
        <v>246</v>
      </c>
      <c r="W129" s="42" t="s">
        <v>495</v>
      </c>
      <c r="X129" s="63" t="s">
        <v>105</v>
      </c>
      <c r="Y129" s="58" t="s">
        <v>247</v>
      </c>
      <c r="Z129" s="42">
        <v>64643</v>
      </c>
      <c r="AA129" s="42" t="s">
        <v>326</v>
      </c>
      <c r="AB129" s="23">
        <v>110</v>
      </c>
    </row>
    <row r="130" spans="1:28" x14ac:dyDescent="0.25">
      <c r="A130" s="64"/>
      <c r="B130" s="42"/>
      <c r="C130" s="42"/>
      <c r="D130" s="27" t="s">
        <v>297</v>
      </c>
      <c r="E130" s="23">
        <v>0</v>
      </c>
      <c r="F130" s="25" t="s">
        <v>297</v>
      </c>
      <c r="G130" s="42" t="s">
        <v>53</v>
      </c>
      <c r="H130" s="42" t="s">
        <v>54</v>
      </c>
      <c r="I130" s="27" t="str">
        <f>_xlfn.XLOOKUP(G130,'Item Usage'!$B$59:$B$65,'Item Usage'!$D$59:$D$65,"---",0,1)</f>
        <v>---</v>
      </c>
      <c r="J130" s="23">
        <f>_xlfn.XLOOKUP(G130,'Item Usage'!$B$70:$B$100,'Item Usage'!$D$70:$D$100,"---",0,1)</f>
        <v>0</v>
      </c>
      <c r="K130" s="42" t="s">
        <v>492</v>
      </c>
      <c r="L130" s="27" t="str" cm="1">
        <f t="array" ref="L130">IF(D130="---","---", SumHH((D130,O130,R130), I130))</f>
        <v>---</v>
      </c>
      <c r="M130" s="23">
        <f>IF($E130="---","---",($E130+$O130+$R130)-$J130)</f>
        <v>480</v>
      </c>
      <c r="N130" s="69" t="str">
        <f>IF($F130="---","---",($F130+$O130+$R130))</f>
        <v>---</v>
      </c>
      <c r="O130" s="23">
        <v>0</v>
      </c>
      <c r="P130" s="42"/>
      <c r="Q130" s="42" t="s">
        <v>101</v>
      </c>
      <c r="R130" s="23">
        <v>480</v>
      </c>
      <c r="S130" s="63" t="s">
        <v>250</v>
      </c>
      <c r="T130" s="42">
        <v>0</v>
      </c>
      <c r="U130" s="63"/>
      <c r="V130" s="63" t="s">
        <v>251</v>
      </c>
      <c r="W130" s="42" t="s">
        <v>495</v>
      </c>
      <c r="X130" s="63" t="s">
        <v>105</v>
      </c>
      <c r="Y130" s="58" t="s">
        <v>252</v>
      </c>
      <c r="Z130" s="42">
        <v>64643</v>
      </c>
      <c r="AA130" s="42" t="s">
        <v>326</v>
      </c>
      <c r="AB130" s="23">
        <v>460</v>
      </c>
    </row>
    <row r="131" spans="1:28" x14ac:dyDescent="0.25">
      <c r="A131" s="64"/>
      <c r="B131" s="42"/>
      <c r="C131" s="42"/>
      <c r="D131" s="27" t="s">
        <v>297</v>
      </c>
      <c r="E131" s="23">
        <v>0</v>
      </c>
      <c r="F131" s="25" t="s">
        <v>297</v>
      </c>
      <c r="G131" s="42" t="s">
        <v>64</v>
      </c>
      <c r="H131" s="42" t="s">
        <v>63</v>
      </c>
      <c r="I131" s="27" t="str">
        <f>_xlfn.XLOOKUP(G131,'Item Usage'!$B$59:$B$65,'Item Usage'!$D$59:$D$65,"---",0,1)</f>
        <v>---</v>
      </c>
      <c r="J131" s="23">
        <f>_xlfn.XLOOKUP(G131,'Item Usage'!$B$70:$B$100,'Item Usage'!$D$70:$D$100,"---",0,1)</f>
        <v>0</v>
      </c>
      <c r="K131" s="42" t="s">
        <v>492</v>
      </c>
      <c r="L131" s="27" t="str" cm="1">
        <f t="array" ref="L131">IF(D131="---","---", SumHH((D131,O131,R131), I131))</f>
        <v>---</v>
      </c>
      <c r="M131" s="23">
        <f>IF($E131="---","---",($E131+$O131+$R131)-$J131)</f>
        <v>120</v>
      </c>
      <c r="N131" s="69" t="str">
        <f>IF($F131="---","---",($F131+$O131+$R131))</f>
        <v>---</v>
      </c>
      <c r="O131" s="23">
        <v>0</v>
      </c>
      <c r="P131" s="42"/>
      <c r="Q131" s="42" t="s">
        <v>101</v>
      </c>
      <c r="R131" s="23">
        <v>120</v>
      </c>
      <c r="S131" s="63" t="s">
        <v>245</v>
      </c>
      <c r="T131" s="42">
        <v>0</v>
      </c>
      <c r="U131" s="63"/>
      <c r="V131" s="63" t="s">
        <v>246</v>
      </c>
      <c r="W131" s="42" t="s">
        <v>505</v>
      </c>
      <c r="X131" s="63" t="s">
        <v>105</v>
      </c>
      <c r="Y131" s="58" t="s">
        <v>247</v>
      </c>
      <c r="Z131" s="42">
        <v>64643</v>
      </c>
      <c r="AA131" s="42" t="s">
        <v>326</v>
      </c>
      <c r="AB131" s="23">
        <v>110</v>
      </c>
    </row>
    <row r="132" spans="1:28" x14ac:dyDescent="0.25">
      <c r="A132" s="64"/>
      <c r="B132" s="42"/>
      <c r="C132" s="42"/>
      <c r="D132" s="27" t="s">
        <v>297</v>
      </c>
      <c r="E132" s="23">
        <v>0</v>
      </c>
      <c r="F132" s="25" t="s">
        <v>297</v>
      </c>
      <c r="G132" s="42" t="s">
        <v>62</v>
      </c>
      <c r="H132" s="42" t="s">
        <v>63</v>
      </c>
      <c r="I132" s="27" t="str">
        <f>_xlfn.XLOOKUP(G132,'Item Usage'!$B$59:$B$65,'Item Usage'!$D$59:$D$65,"---",0,1)</f>
        <v>---</v>
      </c>
      <c r="J132" s="23">
        <f>_xlfn.XLOOKUP(G132,'Item Usage'!$B$70:$B$100,'Item Usage'!$D$70:$D$100,"---",0,1)</f>
        <v>0</v>
      </c>
      <c r="K132" s="42" t="s">
        <v>492</v>
      </c>
      <c r="L132" s="27" t="str" cm="1">
        <f t="array" ref="L132">IF(D132="---","---", SumHH((D132,O132,R132), I132))</f>
        <v>---</v>
      </c>
      <c r="M132" s="23">
        <f>IF($E132="---","---",($E132+$O132+$R132)-$J132)</f>
        <v>480</v>
      </c>
      <c r="N132" s="69" t="str">
        <f>IF($F132="---","---",($F132+$O132+$R132))</f>
        <v>---</v>
      </c>
      <c r="O132" s="23">
        <v>0</v>
      </c>
      <c r="P132" s="42"/>
      <c r="Q132" s="42" t="s">
        <v>101</v>
      </c>
      <c r="R132" s="23">
        <v>480</v>
      </c>
      <c r="S132" s="63" t="s">
        <v>250</v>
      </c>
      <c r="T132" s="42">
        <v>0</v>
      </c>
      <c r="U132" s="63"/>
      <c r="V132" s="63" t="s">
        <v>251</v>
      </c>
      <c r="W132" s="42" t="s">
        <v>505</v>
      </c>
      <c r="X132" s="63" t="s">
        <v>105</v>
      </c>
      <c r="Y132" s="58" t="s">
        <v>252</v>
      </c>
      <c r="Z132" s="42">
        <v>64643</v>
      </c>
      <c r="AA132" s="42" t="s">
        <v>326</v>
      </c>
      <c r="AB132" s="23">
        <v>460</v>
      </c>
    </row>
    <row r="133" spans="1:28" x14ac:dyDescent="0.25">
      <c r="A133" s="64"/>
      <c r="B133" s="42"/>
      <c r="C133" s="42"/>
      <c r="D133" s="27" t="s">
        <v>297</v>
      </c>
      <c r="E133" s="23">
        <v>761</v>
      </c>
      <c r="F133" s="25" t="s">
        <v>297</v>
      </c>
      <c r="G133" s="42" t="s">
        <v>18</v>
      </c>
      <c r="H133" s="42" t="s">
        <v>19</v>
      </c>
      <c r="I133" s="27" t="str">
        <f>_xlfn.XLOOKUP(G133,'Item Usage'!$B$59:$B$65,'Item Usage'!$D$59:$D$65,"---",0,1)</f>
        <v>---</v>
      </c>
      <c r="J133" s="23">
        <f>_xlfn.XLOOKUP(G133,'Item Usage'!$B$70:$B$100,'Item Usage'!$D$70:$D$100,"---",0,1)</f>
        <v>1300</v>
      </c>
      <c r="K133" s="42" t="s">
        <v>492</v>
      </c>
      <c r="L133" s="27" t="str" cm="1">
        <f t="array" ref="L133">IF(D133="---","---", SumHH((D133,O133,R133), I133))</f>
        <v>---</v>
      </c>
      <c r="M133" s="23">
        <f>IF($E133="---","---",($E133+$O133+$R133)-$J133)</f>
        <v>9461</v>
      </c>
      <c r="N133" s="69" t="str">
        <f>IF($F133="---","---",($F133+$O133+$R133))</f>
        <v>---</v>
      </c>
      <c r="O133" s="23">
        <v>0</v>
      </c>
      <c r="P133" s="42"/>
      <c r="Q133" s="42" t="s">
        <v>101</v>
      </c>
      <c r="R133" s="23">
        <v>10000</v>
      </c>
      <c r="S133" s="63" t="s">
        <v>256</v>
      </c>
      <c r="T133" s="42">
        <v>0</v>
      </c>
      <c r="U133" s="63"/>
      <c r="V133" s="63" t="s">
        <v>257</v>
      </c>
      <c r="W133" s="42" t="s">
        <v>505</v>
      </c>
      <c r="X133" s="63" t="s">
        <v>105</v>
      </c>
      <c r="Y133" s="58" t="s">
        <v>258</v>
      </c>
      <c r="Z133" s="42">
        <v>64643</v>
      </c>
      <c r="AA133" s="42" t="s">
        <v>326</v>
      </c>
      <c r="AB133" s="23">
        <v>10000</v>
      </c>
    </row>
    <row r="134" spans="1:28" x14ac:dyDescent="0.25">
      <c r="A134" s="64"/>
      <c r="B134" s="42"/>
      <c r="C134" s="42"/>
      <c r="D134" s="27" t="s">
        <v>297</v>
      </c>
      <c r="E134" s="23">
        <v>1064</v>
      </c>
      <c r="F134" s="25" t="s">
        <v>297</v>
      </c>
      <c r="G134" s="42" t="s">
        <v>18</v>
      </c>
      <c r="H134" s="42" t="s">
        <v>19</v>
      </c>
      <c r="I134" s="27" t="str">
        <f>_xlfn.XLOOKUP(G134,'Item Usage'!$B$59:$B$65,'Item Usage'!$D$59:$D$65,"---",0,1)</f>
        <v>---</v>
      </c>
      <c r="J134" s="23">
        <f>_xlfn.XLOOKUP(G134,'Item Usage'!$B$70:$B$100,'Item Usage'!$D$70:$D$100,"---",0,1)</f>
        <v>1300</v>
      </c>
      <c r="K134" s="42" t="s">
        <v>492</v>
      </c>
      <c r="L134" s="27" t="str" cm="1">
        <f t="array" ref="L134">IF(D134="---","---", SumHH((D134,O134,R134), I134))</f>
        <v>---</v>
      </c>
      <c r="M134" s="23">
        <f>IF($E134="---","---",($E134+$O134+$R134)-$J134)</f>
        <v>9764</v>
      </c>
      <c r="N134" s="69" t="str">
        <f>IF($F134="---","---",($F134+$O134+$R134))</f>
        <v>---</v>
      </c>
      <c r="O134" s="23">
        <v>0</v>
      </c>
      <c r="P134" s="42"/>
      <c r="Q134" s="42" t="s">
        <v>101</v>
      </c>
      <c r="R134" s="23">
        <v>10000</v>
      </c>
      <c r="S134" s="63" t="s">
        <v>256</v>
      </c>
      <c r="T134" s="42">
        <v>0</v>
      </c>
      <c r="U134" s="63"/>
      <c r="V134" s="63" t="s">
        <v>257</v>
      </c>
      <c r="W134" s="42" t="s">
        <v>495</v>
      </c>
      <c r="X134" s="63" t="s">
        <v>105</v>
      </c>
      <c r="Y134" s="58" t="s">
        <v>258</v>
      </c>
      <c r="Z134" s="42">
        <v>64643</v>
      </c>
      <c r="AA134" s="42" t="s">
        <v>326</v>
      </c>
      <c r="AB134" s="23">
        <v>10000</v>
      </c>
    </row>
    <row r="135" spans="1:28" x14ac:dyDescent="0.25">
      <c r="A135" s="64"/>
      <c r="B135" s="42"/>
      <c r="C135" s="42"/>
      <c r="D135" s="27" t="s">
        <v>297</v>
      </c>
      <c r="E135" s="23">
        <v>-10</v>
      </c>
      <c r="F135" s="25" t="s">
        <v>297</v>
      </c>
      <c r="G135" s="42" t="s">
        <v>75</v>
      </c>
      <c r="H135" s="42" t="s">
        <v>76</v>
      </c>
      <c r="I135" s="27" t="str">
        <f>_xlfn.XLOOKUP(G135,'Item Usage'!$B$59:$B$65,'Item Usage'!$D$59:$D$65,"---",0,1)</f>
        <v>---</v>
      </c>
      <c r="J135" s="23">
        <f>_xlfn.XLOOKUP(G135,'Item Usage'!$B$70:$B$100,'Item Usage'!$D$70:$D$100,"---",0,1)</f>
        <v>0</v>
      </c>
      <c r="K135" s="42" t="s">
        <v>492</v>
      </c>
      <c r="L135" s="27" t="str" cm="1">
        <f t="array" ref="L135">IF(D135="---","---", SumHH((D135,O135,R135), I135))</f>
        <v>---</v>
      </c>
      <c r="M135" s="23">
        <f>IF($E135="---","---",($E135+$O135+$R135)-$J135)</f>
        <v>0</v>
      </c>
      <c r="N135" s="69" t="str">
        <f>IF($F135="---","---",($F135+$O135+$R135))</f>
        <v>---</v>
      </c>
      <c r="O135" s="23">
        <v>0</v>
      </c>
      <c r="P135" s="42"/>
      <c r="Q135" s="42" t="s">
        <v>218</v>
      </c>
      <c r="R135" s="23">
        <v>10</v>
      </c>
      <c r="S135" s="63" t="s">
        <v>590</v>
      </c>
      <c r="T135" s="42">
        <v>0</v>
      </c>
      <c r="U135" s="63" t="s">
        <v>593</v>
      </c>
      <c r="V135" s="63" t="s">
        <v>591</v>
      </c>
      <c r="W135" s="42">
        <v>406341</v>
      </c>
      <c r="X135" s="63" t="s">
        <v>594</v>
      </c>
      <c r="Y135" s="58" t="s">
        <v>219</v>
      </c>
      <c r="Z135" s="42" t="s">
        <v>115</v>
      </c>
      <c r="AA135" s="42" t="s">
        <v>328</v>
      </c>
      <c r="AB135" s="23">
        <v>9</v>
      </c>
    </row>
    <row r="136" spans="1:28" x14ac:dyDescent="0.25">
      <c r="A136" s="64"/>
      <c r="B136" s="42"/>
      <c r="C136" s="42"/>
      <c r="D136" s="27" t="s">
        <v>297</v>
      </c>
      <c r="E136" s="23">
        <v>-10</v>
      </c>
      <c r="F136" s="25" t="s">
        <v>297</v>
      </c>
      <c r="G136" s="42" t="s">
        <v>75</v>
      </c>
      <c r="H136" s="42" t="s">
        <v>76</v>
      </c>
      <c r="I136" s="27" t="str">
        <f>_xlfn.XLOOKUP(G136,'Item Usage'!$B$59:$B$65,'Item Usage'!$D$59:$D$65,"---",0,1)</f>
        <v>---</v>
      </c>
      <c r="J136" s="23">
        <f>_xlfn.XLOOKUP(G136,'Item Usage'!$B$70:$B$100,'Item Usage'!$D$70:$D$100,"---",0,1)</f>
        <v>0</v>
      </c>
      <c r="K136" s="42" t="s">
        <v>492</v>
      </c>
      <c r="L136" s="27" t="str" cm="1">
        <f t="array" ref="L136">IF(D136="---","---", SumHH((D136,O136,R136), I136))</f>
        <v>---</v>
      </c>
      <c r="M136" s="23">
        <f>IF($E136="---","---",($E136+$O136+$R136)-$J136)</f>
        <v>0</v>
      </c>
      <c r="N136" s="69" t="str">
        <f>IF($F136="---","---",($F136+$O136+$R136))</f>
        <v>---</v>
      </c>
      <c r="O136" s="23">
        <v>0</v>
      </c>
      <c r="P136" s="42"/>
      <c r="Q136" s="42" t="s">
        <v>218</v>
      </c>
      <c r="R136" s="23">
        <v>10</v>
      </c>
      <c r="S136" s="63" t="s">
        <v>595</v>
      </c>
      <c r="T136" s="42">
        <v>0</v>
      </c>
      <c r="U136" s="63" t="s">
        <v>598</v>
      </c>
      <c r="V136" s="63" t="s">
        <v>596</v>
      </c>
      <c r="W136" s="42">
        <v>411915</v>
      </c>
      <c r="X136" s="63" t="s">
        <v>599</v>
      </c>
      <c r="Y136" s="58" t="s">
        <v>219</v>
      </c>
      <c r="Z136" s="42" t="s">
        <v>115</v>
      </c>
      <c r="AA136" s="42" t="s">
        <v>328</v>
      </c>
      <c r="AB136" s="23">
        <v>9</v>
      </c>
    </row>
    <row r="137" spans="1:28" x14ac:dyDescent="0.25">
      <c r="A137" s="64"/>
      <c r="B137" s="42"/>
      <c r="C137" s="42"/>
      <c r="D137" s="27" t="s">
        <v>297</v>
      </c>
      <c r="E137" s="23">
        <v>-10</v>
      </c>
      <c r="F137" s="25" t="s">
        <v>297</v>
      </c>
      <c r="G137" s="42" t="s">
        <v>75</v>
      </c>
      <c r="H137" s="42" t="s">
        <v>76</v>
      </c>
      <c r="I137" s="27" t="str">
        <f>_xlfn.XLOOKUP(G137,'Item Usage'!$B$59:$B$65,'Item Usage'!$D$59:$D$65,"---",0,1)</f>
        <v>---</v>
      </c>
      <c r="J137" s="23">
        <f>_xlfn.XLOOKUP(G137,'Item Usage'!$B$70:$B$100,'Item Usage'!$D$70:$D$100,"---",0,1)</f>
        <v>0</v>
      </c>
      <c r="K137" s="42" t="s">
        <v>492</v>
      </c>
      <c r="L137" s="27" t="str" cm="1">
        <f t="array" ref="L137">IF(D137="---","---", SumHH((D137,O137,R137), I137))</f>
        <v>---</v>
      </c>
      <c r="M137" s="23">
        <f>IF($E137="---","---",($E137+$O137+$R137)-$J137)</f>
        <v>0</v>
      </c>
      <c r="N137" s="69" t="str">
        <f>IF($F137="---","---",($F137+$O137+$R137))</f>
        <v>---</v>
      </c>
      <c r="O137" s="23">
        <v>0</v>
      </c>
      <c r="P137" s="42"/>
      <c r="Q137" s="42" t="s">
        <v>218</v>
      </c>
      <c r="R137" s="23">
        <v>10</v>
      </c>
      <c r="S137" s="63" t="s">
        <v>600</v>
      </c>
      <c r="T137" s="42">
        <v>0</v>
      </c>
      <c r="U137" s="63"/>
      <c r="V137" s="63" t="s">
        <v>601</v>
      </c>
      <c r="W137" s="42">
        <v>413081</v>
      </c>
      <c r="X137" s="63" t="s">
        <v>603</v>
      </c>
      <c r="Y137" s="58" t="s">
        <v>219</v>
      </c>
      <c r="Z137" s="42" t="s">
        <v>115</v>
      </c>
      <c r="AA137" s="42" t="s">
        <v>328</v>
      </c>
      <c r="AB137" s="23">
        <v>9</v>
      </c>
    </row>
    <row r="138" spans="1:28" x14ac:dyDescent="0.25">
      <c r="A138" s="64"/>
      <c r="B138" s="42"/>
      <c r="C138" s="42"/>
      <c r="D138" s="27" t="s">
        <v>297</v>
      </c>
      <c r="E138" s="23">
        <v>-3</v>
      </c>
      <c r="F138" s="25" t="s">
        <v>297</v>
      </c>
      <c r="G138" s="42" t="s">
        <v>75</v>
      </c>
      <c r="H138" s="42" t="s">
        <v>76</v>
      </c>
      <c r="I138" s="27" t="str">
        <f>_xlfn.XLOOKUP(G138,'Item Usage'!$B$59:$B$65,'Item Usage'!$D$59:$D$65,"---",0,1)</f>
        <v>---</v>
      </c>
      <c r="J138" s="23">
        <f>_xlfn.XLOOKUP(G138,'Item Usage'!$B$70:$B$100,'Item Usage'!$D$70:$D$100,"---",0,1)</f>
        <v>0</v>
      </c>
      <c r="K138" s="42" t="s">
        <v>492</v>
      </c>
      <c r="L138" s="27" t="str" cm="1">
        <f t="array" ref="L138">IF(D138="---","---", SumHH((D138,O138,R138), I138))</f>
        <v>---</v>
      </c>
      <c r="M138" s="23">
        <f>IF($E138="---","---",($E138+$O138+$R138)-$J138)</f>
        <v>7</v>
      </c>
      <c r="N138" s="69" t="str">
        <f>IF($F138="---","---",($F138+$O138+$R138))</f>
        <v>---</v>
      </c>
      <c r="O138" s="23">
        <v>0</v>
      </c>
      <c r="P138" s="42"/>
      <c r="Q138" s="42" t="s">
        <v>218</v>
      </c>
      <c r="R138" s="23">
        <v>10</v>
      </c>
      <c r="S138" s="63" t="s">
        <v>604</v>
      </c>
      <c r="T138" s="42">
        <v>0</v>
      </c>
      <c r="U138" s="63"/>
      <c r="V138" s="63" t="s">
        <v>605</v>
      </c>
      <c r="W138" s="42">
        <v>662721</v>
      </c>
      <c r="X138" s="63" t="s">
        <v>607</v>
      </c>
      <c r="Y138" s="58" t="s">
        <v>219</v>
      </c>
      <c r="Z138" s="42" t="s">
        <v>115</v>
      </c>
      <c r="AA138" s="42" t="s">
        <v>328</v>
      </c>
      <c r="AB138" s="23">
        <v>9</v>
      </c>
    </row>
    <row r="139" spans="1:28" x14ac:dyDescent="0.25">
      <c r="A139" s="64"/>
      <c r="B139" s="42"/>
      <c r="C139" s="42"/>
      <c r="D139" s="27"/>
      <c r="E139" s="23"/>
      <c r="G139" s="42"/>
      <c r="H139" s="42"/>
      <c r="I139" s="27" t="str">
        <f>_xlfn.XLOOKUP(G139,'Item Usage'!$B$59:$B$65,'Item Usage'!$D$59:$D$65,"---",0,1)</f>
        <v>---</v>
      </c>
      <c r="J139" s="23" t="str">
        <f>_xlfn.XLOOKUP(G139,'Item Usage'!$B$70:$B$100,'Item Usage'!$D$70:$D$100,"---",0,1)</f>
        <v>---</v>
      </c>
      <c r="K139" s="42"/>
      <c r="L139" s="27" t="e" cm="1">
        <f t="array" ref="L139">IF(D139="---","---", SumHH((D139,O139,R139), I139))</f>
        <v>#VALUE!</v>
      </c>
      <c r="M139" s="23" t="e">
        <f t="shared" ref="M131:M162" si="0">IF($E139="---","---",($E139+$O139+$R139)-$J139)</f>
        <v>#VALUE!</v>
      </c>
      <c r="N139" s="69">
        <f t="shared" ref="N131:N162" si="1">IF($F139="---","---",($F139+$O139+$R139))</f>
        <v>0</v>
      </c>
      <c r="O139" s="23"/>
      <c r="P139" s="42"/>
      <c r="Q139" s="42"/>
      <c r="R139" s="23"/>
      <c r="S139" s="63"/>
      <c r="T139" s="42"/>
      <c r="U139" s="63"/>
      <c r="V139" s="63"/>
      <c r="W139" s="42"/>
      <c r="X139" s="63"/>
      <c r="Y139" s="58"/>
      <c r="Z139" s="42"/>
      <c r="AA139" s="42"/>
      <c r="AB139" s="23"/>
    </row>
    <row r="140" spans="1:28" x14ac:dyDescent="0.25">
      <c r="A140" s="64"/>
      <c r="B140" s="42"/>
      <c r="C140" s="42"/>
      <c r="D140" s="27"/>
      <c r="E140" s="23"/>
      <c r="G140" s="42"/>
      <c r="H140" s="42"/>
      <c r="I140" s="27" t="str">
        <f>_xlfn.XLOOKUP(G140,'Item Usage'!$B$59:$B$65,'Item Usage'!$D$59:$D$65,"---",0,1)</f>
        <v>---</v>
      </c>
      <c r="J140" s="23" t="str">
        <f>_xlfn.XLOOKUP(G140,'Item Usage'!$B$70:$B$100,'Item Usage'!$D$70:$D$100,"---",0,1)</f>
        <v>---</v>
      </c>
      <c r="K140" s="42"/>
      <c r="L140" s="27" t="e" cm="1">
        <f t="array" ref="L140">IF(D140="---","---", SumHH((D140,O140,R140), I140))</f>
        <v>#VALUE!</v>
      </c>
      <c r="M140" s="23" t="e">
        <f t="shared" si="0"/>
        <v>#VALUE!</v>
      </c>
      <c r="N140" s="69">
        <f t="shared" si="1"/>
        <v>0</v>
      </c>
      <c r="O140" s="23"/>
      <c r="P140" s="42"/>
      <c r="Q140" s="42"/>
      <c r="R140" s="23"/>
      <c r="S140" s="63"/>
      <c r="T140" s="42"/>
      <c r="U140" s="63"/>
      <c r="V140" s="63"/>
      <c r="W140" s="42"/>
      <c r="X140" s="63"/>
      <c r="Y140" s="58"/>
      <c r="Z140" s="42"/>
      <c r="AA140" s="42"/>
      <c r="AB140" s="23"/>
    </row>
    <row r="141" spans="1:28" x14ac:dyDescent="0.25">
      <c r="A141" s="64"/>
      <c r="B141" s="42"/>
      <c r="C141" s="42"/>
      <c r="D141" s="27"/>
      <c r="E141" s="23"/>
      <c r="G141" s="42"/>
      <c r="H141" s="42"/>
      <c r="I141" s="27" t="str">
        <f>_xlfn.XLOOKUP(G141,'Item Usage'!$B$59:$B$65,'Item Usage'!$D$59:$D$65,"---",0,1)</f>
        <v>---</v>
      </c>
      <c r="J141" s="23" t="str">
        <f>_xlfn.XLOOKUP(G141,'Item Usage'!$B$70:$B$100,'Item Usage'!$D$70:$D$100,"---",0,1)</f>
        <v>---</v>
      </c>
      <c r="K141" s="42"/>
      <c r="L141" s="27" t="e" cm="1">
        <f t="array" ref="L141">IF(D141="---","---", SumHH((D141,O141,R141), I141))</f>
        <v>#VALUE!</v>
      </c>
      <c r="M141" s="23" t="e">
        <f t="shared" si="0"/>
        <v>#VALUE!</v>
      </c>
      <c r="N141" s="69">
        <f t="shared" si="1"/>
        <v>0</v>
      </c>
      <c r="O141" s="23"/>
      <c r="P141" s="42"/>
      <c r="Q141" s="42"/>
      <c r="R141" s="23"/>
      <c r="S141" s="63"/>
      <c r="T141" s="42"/>
      <c r="U141" s="63"/>
      <c r="V141" s="63"/>
      <c r="W141" s="42"/>
      <c r="X141" s="63"/>
      <c r="Y141" s="58"/>
      <c r="Z141" s="42"/>
      <c r="AA141" s="42"/>
      <c r="AB141" s="23"/>
    </row>
    <row r="142" spans="1:28" x14ac:dyDescent="0.25">
      <c r="A142" s="64"/>
      <c r="B142" s="42"/>
      <c r="C142" s="42"/>
      <c r="D142" s="27"/>
      <c r="E142" s="23"/>
      <c r="G142" s="42"/>
      <c r="H142" s="42"/>
      <c r="I142" s="27" t="str">
        <f>_xlfn.XLOOKUP(G142,'Item Usage'!$B$59:$B$65,'Item Usage'!$D$59:$D$65,"---",0,1)</f>
        <v>---</v>
      </c>
      <c r="J142" s="23" t="str">
        <f>_xlfn.XLOOKUP(G142,'Item Usage'!$B$70:$B$100,'Item Usage'!$D$70:$D$100,"---",0,1)</f>
        <v>---</v>
      </c>
      <c r="K142" s="42"/>
      <c r="L142" s="27" t="e" cm="1">
        <f t="array" ref="L142">IF(D142="---","---", SumHH((D142,O142,R142), I142))</f>
        <v>#VALUE!</v>
      </c>
      <c r="M142" s="23" t="e">
        <f t="shared" si="0"/>
        <v>#VALUE!</v>
      </c>
      <c r="N142" s="69">
        <f t="shared" si="1"/>
        <v>0</v>
      </c>
      <c r="O142" s="23"/>
      <c r="P142" s="42"/>
      <c r="Q142" s="42"/>
      <c r="R142" s="23"/>
      <c r="S142" s="63"/>
      <c r="T142" s="42"/>
      <c r="U142" s="63"/>
      <c r="V142" s="63"/>
      <c r="W142" s="42"/>
      <c r="X142" s="63"/>
      <c r="Y142" s="58"/>
      <c r="Z142" s="42"/>
      <c r="AA142" s="42"/>
      <c r="AB142" s="23"/>
    </row>
    <row r="143" spans="1:28" x14ac:dyDescent="0.25">
      <c r="A143" s="64"/>
      <c r="B143" s="42"/>
      <c r="C143" s="42"/>
      <c r="D143" s="27"/>
      <c r="E143" s="23"/>
      <c r="G143" s="42"/>
      <c r="H143" s="42"/>
      <c r="I143" s="27" t="str">
        <f>_xlfn.XLOOKUP(G143,'Item Usage'!$B$59:$B$65,'Item Usage'!$D$59:$D$65,"---",0,1)</f>
        <v>---</v>
      </c>
      <c r="J143" s="23" t="str">
        <f>_xlfn.XLOOKUP(G143,'Item Usage'!$B$70:$B$100,'Item Usage'!$D$70:$D$100,"---",0,1)</f>
        <v>---</v>
      </c>
      <c r="K143" s="42"/>
      <c r="L143" s="27" t="e" cm="1">
        <f t="array" ref="L143">IF(D143="---","---", SumHH((D143,O143,R143), I143))</f>
        <v>#VALUE!</v>
      </c>
      <c r="M143" s="23" t="e">
        <f t="shared" si="0"/>
        <v>#VALUE!</v>
      </c>
      <c r="N143" s="69">
        <f t="shared" si="1"/>
        <v>0</v>
      </c>
      <c r="O143" s="23"/>
      <c r="P143" s="42"/>
      <c r="Q143" s="42"/>
      <c r="R143" s="23"/>
      <c r="S143" s="63"/>
      <c r="T143" s="42"/>
      <c r="U143" s="63"/>
      <c r="V143" s="63"/>
      <c r="W143" s="42"/>
      <c r="X143" s="63"/>
      <c r="Y143" s="58"/>
      <c r="Z143" s="42"/>
      <c r="AA143" s="42"/>
      <c r="AB143" s="23"/>
    </row>
    <row r="144" spans="1:28" x14ac:dyDescent="0.25">
      <c r="A144" s="64"/>
      <c r="B144" s="42"/>
      <c r="C144" s="42"/>
      <c r="D144" s="27"/>
      <c r="E144" s="23"/>
      <c r="G144" s="42"/>
      <c r="H144" s="42"/>
      <c r="I144" s="27" t="str">
        <f>_xlfn.XLOOKUP(G144,'Item Usage'!$B$59:$B$65,'Item Usage'!$D$59:$D$65,"---",0,1)</f>
        <v>---</v>
      </c>
      <c r="J144" s="23" t="str">
        <f>_xlfn.XLOOKUP(G144,'Item Usage'!$B$70:$B$100,'Item Usage'!$D$70:$D$100,"---",0,1)</f>
        <v>---</v>
      </c>
      <c r="K144" s="42"/>
      <c r="L144" s="27" t="e" cm="1">
        <f t="array" ref="L144">IF(D144="---","---", SumHH((D144,O144,R144), I144))</f>
        <v>#VALUE!</v>
      </c>
      <c r="M144" s="23" t="e">
        <f t="shared" si="0"/>
        <v>#VALUE!</v>
      </c>
      <c r="N144" s="69">
        <f t="shared" si="1"/>
        <v>0</v>
      </c>
      <c r="O144" s="23"/>
      <c r="P144" s="42"/>
      <c r="Q144" s="42"/>
      <c r="R144" s="23"/>
      <c r="S144" s="63"/>
      <c r="T144" s="42"/>
      <c r="U144" s="63"/>
      <c r="V144" s="63"/>
      <c r="W144" s="42"/>
      <c r="X144" s="63"/>
      <c r="Y144" s="58"/>
      <c r="Z144" s="42"/>
      <c r="AA144" s="42"/>
      <c r="AB144" s="23"/>
    </row>
    <row r="145" spans="1:28" x14ac:dyDescent="0.25">
      <c r="A145" s="64"/>
      <c r="B145" s="42"/>
      <c r="C145" s="42"/>
      <c r="D145" s="27"/>
      <c r="E145" s="23"/>
      <c r="G145" s="42"/>
      <c r="H145" s="42"/>
      <c r="I145" s="27" t="str">
        <f>_xlfn.XLOOKUP(G145,'Item Usage'!$B$59:$B$65,'Item Usage'!$D$59:$D$65,"---",0,1)</f>
        <v>---</v>
      </c>
      <c r="J145" s="23" t="str">
        <f>_xlfn.XLOOKUP(G145,'Item Usage'!$B$70:$B$100,'Item Usage'!$D$70:$D$100,"---",0,1)</f>
        <v>---</v>
      </c>
      <c r="K145" s="42"/>
      <c r="L145" s="27" t="e" cm="1">
        <f t="array" ref="L145">IF(D145="---","---", SumHH((D145,O145,R145), I145))</f>
        <v>#VALUE!</v>
      </c>
      <c r="M145" s="23" t="e">
        <f t="shared" si="0"/>
        <v>#VALUE!</v>
      </c>
      <c r="N145" s="69">
        <f t="shared" si="1"/>
        <v>0</v>
      </c>
      <c r="O145" s="23"/>
      <c r="P145" s="42"/>
      <c r="Q145" s="42"/>
      <c r="R145" s="23"/>
      <c r="S145" s="63"/>
      <c r="T145" s="42"/>
      <c r="U145" s="63"/>
      <c r="V145" s="63"/>
      <c r="W145" s="42"/>
      <c r="X145" s="63"/>
      <c r="Y145" s="58"/>
      <c r="Z145" s="42"/>
      <c r="AA145" s="42"/>
      <c r="AB145" s="23"/>
    </row>
    <row r="146" spans="1:28" x14ac:dyDescent="0.25">
      <c r="A146" s="64"/>
      <c r="B146" s="42"/>
      <c r="C146" s="42"/>
      <c r="D146" s="27"/>
      <c r="E146" s="23"/>
      <c r="G146" s="42"/>
      <c r="H146" s="42"/>
      <c r="I146" s="27" t="str">
        <f>_xlfn.XLOOKUP(G146,'Item Usage'!$B$59:$B$65,'Item Usage'!$D$59:$D$65,"---",0,1)</f>
        <v>---</v>
      </c>
      <c r="J146" s="23" t="str">
        <f>_xlfn.XLOOKUP(G146,'Item Usage'!$B$70:$B$100,'Item Usage'!$D$70:$D$100,"---",0,1)</f>
        <v>---</v>
      </c>
      <c r="K146" s="42"/>
      <c r="L146" s="27" t="e" cm="1">
        <f t="array" ref="L146">IF(D146="---","---", SumHH((D146,O146,R146), I146))</f>
        <v>#VALUE!</v>
      </c>
      <c r="M146" s="23" t="e">
        <f t="shared" si="0"/>
        <v>#VALUE!</v>
      </c>
      <c r="N146" s="69">
        <f t="shared" si="1"/>
        <v>0</v>
      </c>
      <c r="O146" s="23"/>
      <c r="P146" s="42"/>
      <c r="Q146" s="42"/>
      <c r="R146" s="23"/>
      <c r="S146" s="63"/>
      <c r="T146" s="42"/>
      <c r="U146" s="63"/>
      <c r="V146" s="63"/>
      <c r="W146" s="42"/>
      <c r="X146" s="63"/>
      <c r="Y146" s="58"/>
      <c r="Z146" s="42"/>
      <c r="AA146" s="42"/>
      <c r="AB146" s="23"/>
    </row>
    <row r="147" spans="1:28" x14ac:dyDescent="0.25">
      <c r="A147" s="64"/>
      <c r="B147" s="42"/>
      <c r="C147" s="42"/>
      <c r="D147" s="27"/>
      <c r="E147" s="23"/>
      <c r="G147" s="42"/>
      <c r="H147" s="42"/>
      <c r="I147" s="27" t="str">
        <f>_xlfn.XLOOKUP(G147,'Item Usage'!$B$59:$B$65,'Item Usage'!$D$59:$D$65,"---",0,1)</f>
        <v>---</v>
      </c>
      <c r="J147" s="23" t="str">
        <f>_xlfn.XLOOKUP(G147,'Item Usage'!$B$70:$B$100,'Item Usage'!$D$70:$D$100,"---",0,1)</f>
        <v>---</v>
      </c>
      <c r="K147" s="42"/>
      <c r="L147" s="27" t="e" cm="1">
        <f t="array" ref="L147">IF(D147="---","---", SumHH((D147,O147,R147), I147))</f>
        <v>#VALUE!</v>
      </c>
      <c r="M147" s="23" t="e">
        <f t="shared" si="0"/>
        <v>#VALUE!</v>
      </c>
      <c r="N147" s="69">
        <f t="shared" si="1"/>
        <v>0</v>
      </c>
      <c r="O147" s="23"/>
      <c r="P147" s="42"/>
      <c r="Q147" s="42"/>
      <c r="R147" s="23"/>
      <c r="S147" s="63"/>
      <c r="T147" s="42"/>
      <c r="U147" s="63"/>
      <c r="V147" s="63"/>
      <c r="W147" s="42"/>
      <c r="X147" s="63"/>
      <c r="Y147" s="58"/>
      <c r="Z147" s="42"/>
      <c r="AA147" s="42"/>
      <c r="AB147" s="23"/>
    </row>
    <row r="148" spans="1:28" x14ac:dyDescent="0.25">
      <c r="A148" s="64"/>
      <c r="B148" s="42"/>
      <c r="C148" s="42"/>
      <c r="D148" s="27"/>
      <c r="E148" s="23"/>
      <c r="G148" s="42"/>
      <c r="H148" s="42"/>
      <c r="I148" s="27" t="str">
        <f>_xlfn.XLOOKUP(G148,'Item Usage'!$B$59:$B$65,'Item Usage'!$D$59:$D$65,"---",0,1)</f>
        <v>---</v>
      </c>
      <c r="J148" s="23" t="str">
        <f>_xlfn.XLOOKUP(G148,'Item Usage'!$B$70:$B$100,'Item Usage'!$D$70:$D$100,"---",0,1)</f>
        <v>---</v>
      </c>
      <c r="K148" s="42"/>
      <c r="L148" s="27" t="e" cm="1">
        <f t="array" ref="L148">IF(D148="---","---", SumHH((D148,O148,R148), I148))</f>
        <v>#VALUE!</v>
      </c>
      <c r="M148" s="23" t="e">
        <f t="shared" si="0"/>
        <v>#VALUE!</v>
      </c>
      <c r="N148" s="69">
        <f t="shared" si="1"/>
        <v>0</v>
      </c>
      <c r="O148" s="23"/>
      <c r="P148" s="42"/>
      <c r="Q148" s="42"/>
      <c r="R148" s="23"/>
      <c r="S148" s="63"/>
      <c r="T148" s="42"/>
      <c r="U148" s="63"/>
      <c r="V148" s="63"/>
      <c r="W148" s="42"/>
      <c r="X148" s="63"/>
      <c r="Y148" s="58"/>
      <c r="Z148" s="42"/>
      <c r="AA148" s="42"/>
      <c r="AB148" s="23"/>
    </row>
    <row r="149" spans="1:28" x14ac:dyDescent="0.25">
      <c r="A149" s="64"/>
      <c r="B149" s="42"/>
      <c r="C149" s="42"/>
      <c r="D149" s="27"/>
      <c r="E149" s="23"/>
      <c r="G149" s="42"/>
      <c r="H149" s="42"/>
      <c r="I149" s="27" t="str">
        <f>_xlfn.XLOOKUP(G149,'Item Usage'!$B$59:$B$65,'Item Usage'!$D$59:$D$65,"---",0,1)</f>
        <v>---</v>
      </c>
      <c r="J149" s="23" t="str">
        <f>_xlfn.XLOOKUP(G149,'Item Usage'!$B$70:$B$100,'Item Usage'!$D$70:$D$100,"---",0,1)</f>
        <v>---</v>
      </c>
      <c r="K149" s="42"/>
      <c r="L149" s="27" t="e" cm="1">
        <f t="array" ref="L149">IF(D149="---","---", SumHH((D149,O149,R149), I149))</f>
        <v>#VALUE!</v>
      </c>
      <c r="M149" s="23" t="e">
        <f t="shared" si="0"/>
        <v>#VALUE!</v>
      </c>
      <c r="N149" s="69">
        <f t="shared" si="1"/>
        <v>0</v>
      </c>
      <c r="O149" s="23"/>
      <c r="P149" s="42"/>
      <c r="Q149" s="42"/>
      <c r="R149" s="23"/>
      <c r="S149" s="63"/>
      <c r="T149" s="42"/>
      <c r="U149" s="63"/>
      <c r="V149" s="63"/>
      <c r="W149" s="42"/>
      <c r="X149" s="63"/>
      <c r="Y149" s="58"/>
      <c r="Z149" s="42"/>
      <c r="AA149" s="42"/>
      <c r="AB149" s="23"/>
    </row>
    <row r="150" spans="1:28" x14ac:dyDescent="0.25">
      <c r="A150" s="64"/>
      <c r="B150" s="42"/>
      <c r="C150" s="42"/>
      <c r="D150" s="27"/>
      <c r="E150" s="23"/>
      <c r="G150" s="42"/>
      <c r="H150" s="42"/>
      <c r="I150" s="27" t="str">
        <f>_xlfn.XLOOKUP(G150,'Item Usage'!$B$59:$B$65,'Item Usage'!$D$59:$D$65,"---",0,1)</f>
        <v>---</v>
      </c>
      <c r="J150" s="23" t="str">
        <f>_xlfn.XLOOKUP(G150,'Item Usage'!$B$70:$B$100,'Item Usage'!$D$70:$D$100,"---",0,1)</f>
        <v>---</v>
      </c>
      <c r="K150" s="42"/>
      <c r="L150" s="27" t="e" cm="1">
        <f t="array" ref="L150">IF(D150="---","---", SumHH((D150,O150,R150), I150))</f>
        <v>#VALUE!</v>
      </c>
      <c r="M150" s="23" t="e">
        <f t="shared" si="0"/>
        <v>#VALUE!</v>
      </c>
      <c r="N150" s="69">
        <f t="shared" si="1"/>
        <v>0</v>
      </c>
      <c r="O150" s="23"/>
      <c r="P150" s="42"/>
      <c r="Q150" s="42"/>
      <c r="R150" s="23"/>
      <c r="S150" s="63"/>
      <c r="T150" s="42"/>
      <c r="U150" s="63"/>
      <c r="V150" s="63"/>
      <c r="W150" s="42"/>
      <c r="X150" s="63"/>
      <c r="Y150" s="58"/>
      <c r="Z150" s="42"/>
      <c r="AA150" s="42"/>
      <c r="AB150" s="23"/>
    </row>
    <row r="151" spans="1:28" x14ac:dyDescent="0.25">
      <c r="A151" s="64"/>
      <c r="B151" s="42"/>
      <c r="C151" s="42"/>
      <c r="D151" s="27"/>
      <c r="E151" s="23"/>
      <c r="G151" s="42"/>
      <c r="H151" s="42"/>
      <c r="I151" s="27" t="str">
        <f>_xlfn.XLOOKUP(G151,'Item Usage'!$B$59:$B$65,'Item Usage'!$D$59:$D$65,"---",0,1)</f>
        <v>---</v>
      </c>
      <c r="J151" s="23" t="str">
        <f>_xlfn.XLOOKUP(G151,'Item Usage'!$B$70:$B$100,'Item Usage'!$D$70:$D$100,"---",0,1)</f>
        <v>---</v>
      </c>
      <c r="K151" s="42"/>
      <c r="L151" s="27" t="e" cm="1">
        <f t="array" ref="L151">IF(D151="---","---", SumHH((D151,O151,R151), I151))</f>
        <v>#VALUE!</v>
      </c>
      <c r="M151" s="23" t="e">
        <f t="shared" si="0"/>
        <v>#VALUE!</v>
      </c>
      <c r="N151" s="69">
        <f t="shared" si="1"/>
        <v>0</v>
      </c>
      <c r="O151" s="23"/>
      <c r="P151" s="42"/>
      <c r="Q151" s="42"/>
      <c r="R151" s="23"/>
      <c r="S151" s="63"/>
      <c r="T151" s="42"/>
      <c r="U151" s="63"/>
      <c r="V151" s="63"/>
      <c r="W151" s="42"/>
      <c r="X151" s="63"/>
      <c r="Y151" s="58"/>
      <c r="Z151" s="42"/>
      <c r="AA151" s="42"/>
      <c r="AB151" s="23"/>
    </row>
    <row r="152" spans="1:28" x14ac:dyDescent="0.25">
      <c r="A152" s="64"/>
      <c r="B152" s="42"/>
      <c r="C152" s="42"/>
      <c r="D152" s="27"/>
      <c r="E152" s="23"/>
      <c r="G152" s="42"/>
      <c r="H152" s="42"/>
      <c r="I152" s="27" t="str">
        <f>_xlfn.XLOOKUP(G152,'Item Usage'!$B$59:$B$65,'Item Usage'!$D$59:$D$65,"---",0,1)</f>
        <v>---</v>
      </c>
      <c r="J152" s="23" t="str">
        <f>_xlfn.XLOOKUP(G152,'Item Usage'!$B$70:$B$100,'Item Usage'!$D$70:$D$100,"---",0,1)</f>
        <v>---</v>
      </c>
      <c r="K152" s="42"/>
      <c r="L152" s="27" t="e" cm="1">
        <f t="array" ref="L152">IF(D152="---","---", SumHH((D152,O152,R152), I152))</f>
        <v>#VALUE!</v>
      </c>
      <c r="M152" s="23" t="e">
        <f t="shared" si="0"/>
        <v>#VALUE!</v>
      </c>
      <c r="N152" s="69">
        <f t="shared" si="1"/>
        <v>0</v>
      </c>
      <c r="O152" s="23"/>
      <c r="P152" s="42"/>
      <c r="Q152" s="42"/>
      <c r="R152" s="23"/>
      <c r="S152" s="63"/>
      <c r="T152" s="42"/>
      <c r="U152" s="63"/>
      <c r="V152" s="63"/>
      <c r="W152" s="42"/>
      <c r="X152" s="63"/>
      <c r="Y152" s="58"/>
      <c r="Z152" s="42"/>
      <c r="AA152" s="42"/>
      <c r="AB152" s="23"/>
    </row>
    <row r="153" spans="1:28" x14ac:dyDescent="0.25">
      <c r="A153" s="64"/>
      <c r="B153" s="42"/>
      <c r="C153" s="42"/>
      <c r="D153" s="27"/>
      <c r="E153" s="23"/>
      <c r="G153" s="42"/>
      <c r="H153" s="42"/>
      <c r="I153" s="27" t="str">
        <f>_xlfn.XLOOKUP(G153,'Item Usage'!$B$59:$B$65,'Item Usage'!$D$59:$D$65,"---",0,1)</f>
        <v>---</v>
      </c>
      <c r="J153" s="23" t="str">
        <f>_xlfn.XLOOKUP(G153,'Item Usage'!$B$70:$B$100,'Item Usage'!$D$70:$D$100,"---",0,1)</f>
        <v>---</v>
      </c>
      <c r="K153" s="42"/>
      <c r="L153" s="27" t="e" cm="1">
        <f t="array" ref="L153">IF(D153="---","---", SumHH((D153,O153,R153), I153))</f>
        <v>#VALUE!</v>
      </c>
      <c r="M153" s="23" t="e">
        <f t="shared" si="0"/>
        <v>#VALUE!</v>
      </c>
      <c r="N153" s="69">
        <f t="shared" si="1"/>
        <v>0</v>
      </c>
      <c r="O153" s="23"/>
      <c r="P153" s="42"/>
      <c r="Q153" s="42"/>
      <c r="R153" s="23"/>
      <c r="S153" s="63"/>
      <c r="T153" s="42"/>
      <c r="U153" s="63"/>
      <c r="V153" s="63"/>
      <c r="W153" s="42"/>
      <c r="X153" s="63"/>
      <c r="Y153" s="58"/>
      <c r="Z153" s="42"/>
      <c r="AA153" s="42"/>
      <c r="AB153" s="23"/>
    </row>
    <row r="154" spans="1:28" x14ac:dyDescent="0.25">
      <c r="A154" s="64"/>
      <c r="B154" s="42"/>
      <c r="C154" s="42"/>
      <c r="D154" s="27"/>
      <c r="E154" s="23"/>
      <c r="G154" s="42"/>
      <c r="H154" s="42"/>
      <c r="I154" s="27" t="str">
        <f>_xlfn.XLOOKUP(G154,'Item Usage'!$B$59:$B$65,'Item Usage'!$D$59:$D$65,"---",0,1)</f>
        <v>---</v>
      </c>
      <c r="J154" s="23" t="str">
        <f>_xlfn.XLOOKUP(G154,'Item Usage'!$B$70:$B$100,'Item Usage'!$D$70:$D$100,"---",0,1)</f>
        <v>---</v>
      </c>
      <c r="K154" s="42"/>
      <c r="L154" s="27" t="e" cm="1">
        <f t="array" ref="L154">IF(D154="---","---", SumHH((D154,O154,R154), I154))</f>
        <v>#VALUE!</v>
      </c>
      <c r="M154" s="23" t="e">
        <f t="shared" si="0"/>
        <v>#VALUE!</v>
      </c>
      <c r="N154" s="69">
        <f t="shared" si="1"/>
        <v>0</v>
      </c>
      <c r="O154" s="23"/>
      <c r="P154" s="42"/>
      <c r="Q154" s="42"/>
      <c r="R154" s="23"/>
      <c r="S154" s="63"/>
      <c r="T154" s="42"/>
      <c r="U154" s="63"/>
      <c r="V154" s="63"/>
      <c r="W154" s="42"/>
      <c r="X154" s="63"/>
      <c r="Y154" s="58"/>
      <c r="Z154" s="42"/>
      <c r="AA154" s="42"/>
      <c r="AB154" s="23"/>
    </row>
    <row r="155" spans="1:28" x14ac:dyDescent="0.25">
      <c r="A155" s="64"/>
      <c r="B155" s="42"/>
      <c r="C155" s="42"/>
      <c r="D155" s="27"/>
      <c r="E155" s="23"/>
      <c r="G155" s="42"/>
      <c r="H155" s="42"/>
      <c r="I155" s="27" t="str">
        <f>_xlfn.XLOOKUP(G155,'Item Usage'!$B$59:$B$65,'Item Usage'!$D$59:$D$65,"---",0,1)</f>
        <v>---</v>
      </c>
      <c r="J155" s="23" t="str">
        <f>_xlfn.XLOOKUP(G155,'Item Usage'!$B$70:$B$100,'Item Usage'!$D$70:$D$100,"---",0,1)</f>
        <v>---</v>
      </c>
      <c r="K155" s="42"/>
      <c r="L155" s="27" t="e" cm="1">
        <f t="array" ref="L155">IF(D155="---","---", SumHH((D155,O155,R155), I155))</f>
        <v>#VALUE!</v>
      </c>
      <c r="M155" s="23" t="e">
        <f t="shared" si="0"/>
        <v>#VALUE!</v>
      </c>
      <c r="N155" s="69">
        <f t="shared" si="1"/>
        <v>0</v>
      </c>
      <c r="O155" s="23"/>
      <c r="P155" s="42"/>
      <c r="Q155" s="42"/>
      <c r="R155" s="23"/>
      <c r="S155" s="63"/>
      <c r="T155" s="42"/>
      <c r="U155" s="63"/>
      <c r="V155" s="63"/>
      <c r="W155" s="42"/>
      <c r="X155" s="63"/>
      <c r="Y155" s="58"/>
      <c r="Z155" s="42"/>
      <c r="AA155" s="42"/>
      <c r="AB155" s="23"/>
    </row>
    <row r="156" spans="1:28" x14ac:dyDescent="0.25">
      <c r="A156" s="64"/>
      <c r="B156" s="42"/>
      <c r="C156" s="42"/>
      <c r="D156" s="27"/>
      <c r="E156" s="23"/>
      <c r="G156" s="42"/>
      <c r="H156" s="42"/>
      <c r="I156" s="27" t="str">
        <f>_xlfn.XLOOKUP(G156,'Item Usage'!$B$59:$B$65,'Item Usage'!$D$59:$D$65,"---",0,1)</f>
        <v>---</v>
      </c>
      <c r="J156" s="23" t="str">
        <f>_xlfn.XLOOKUP(G156,'Item Usage'!$B$70:$B$100,'Item Usage'!$D$70:$D$100,"---",0,1)</f>
        <v>---</v>
      </c>
      <c r="K156" s="42"/>
      <c r="L156" s="27" t="e" cm="1">
        <f t="array" ref="L156">IF(D156="---","---", SumHH((D156,O156,R156), I156))</f>
        <v>#VALUE!</v>
      </c>
      <c r="M156" s="23" t="e">
        <f t="shared" si="0"/>
        <v>#VALUE!</v>
      </c>
      <c r="N156" s="69">
        <f t="shared" si="1"/>
        <v>0</v>
      </c>
      <c r="O156" s="23"/>
      <c r="P156" s="42"/>
      <c r="Q156" s="42"/>
      <c r="R156" s="23"/>
      <c r="S156" s="63"/>
      <c r="T156" s="42"/>
      <c r="U156" s="63"/>
      <c r="V156" s="63"/>
      <c r="W156" s="42"/>
      <c r="X156" s="63"/>
      <c r="Y156" s="58"/>
      <c r="Z156" s="42"/>
      <c r="AA156" s="42"/>
      <c r="AB156" s="23"/>
    </row>
    <row r="157" spans="1:28" x14ac:dyDescent="0.25">
      <c r="A157" s="64"/>
      <c r="B157" s="42"/>
      <c r="C157" s="42"/>
      <c r="D157" s="27"/>
      <c r="E157" s="23"/>
      <c r="G157" s="42"/>
      <c r="H157" s="42"/>
      <c r="I157" s="27" t="str">
        <f>_xlfn.XLOOKUP(G157,'Item Usage'!$B$59:$B$65,'Item Usage'!$D$59:$D$65,"---",0,1)</f>
        <v>---</v>
      </c>
      <c r="J157" s="23" t="str">
        <f>_xlfn.XLOOKUP(G157,'Item Usage'!$B$70:$B$100,'Item Usage'!$D$70:$D$100,"---",0,1)</f>
        <v>---</v>
      </c>
      <c r="K157" s="42"/>
      <c r="L157" s="27" t="e" cm="1">
        <f t="array" ref="L157">IF(D157="---","---", SumHH((D157,O157,R157), I157))</f>
        <v>#VALUE!</v>
      </c>
      <c r="M157" s="23" t="e">
        <f t="shared" si="0"/>
        <v>#VALUE!</v>
      </c>
      <c r="N157" s="69">
        <f t="shared" si="1"/>
        <v>0</v>
      </c>
      <c r="O157" s="23"/>
      <c r="P157" s="42"/>
      <c r="Q157" s="42"/>
      <c r="R157" s="23"/>
      <c r="S157" s="63"/>
      <c r="T157" s="42"/>
      <c r="U157" s="63"/>
      <c r="V157" s="63"/>
      <c r="W157" s="42"/>
      <c r="X157" s="63"/>
      <c r="Y157" s="58"/>
      <c r="Z157" s="42"/>
      <c r="AA157" s="42"/>
      <c r="AB157" s="23"/>
    </row>
    <row r="158" spans="1:28" x14ac:dyDescent="0.25">
      <c r="A158" s="64"/>
      <c r="B158" s="42"/>
      <c r="C158" s="42"/>
      <c r="D158" s="27"/>
      <c r="E158" s="23"/>
      <c r="G158" s="42"/>
      <c r="H158" s="42"/>
      <c r="I158" s="27" t="str">
        <f>_xlfn.XLOOKUP(G158,'Item Usage'!$B$59:$B$65,'Item Usage'!$D$59:$D$65,"---",0,1)</f>
        <v>---</v>
      </c>
      <c r="J158" s="23" t="str">
        <f>_xlfn.XLOOKUP(G158,'Item Usage'!$B$70:$B$100,'Item Usage'!$D$70:$D$100,"---",0,1)</f>
        <v>---</v>
      </c>
      <c r="K158" s="42"/>
      <c r="L158" s="27" t="e" cm="1">
        <f t="array" ref="L158">IF(D158="---","---", SumHH((D158,O158,R158), I158))</f>
        <v>#VALUE!</v>
      </c>
      <c r="M158" s="23" t="e">
        <f t="shared" si="0"/>
        <v>#VALUE!</v>
      </c>
      <c r="N158" s="69">
        <f t="shared" si="1"/>
        <v>0</v>
      </c>
      <c r="O158" s="23"/>
      <c r="P158" s="42"/>
      <c r="Q158" s="42"/>
      <c r="R158" s="23"/>
      <c r="S158" s="63"/>
      <c r="T158" s="42"/>
      <c r="U158" s="63"/>
      <c r="V158" s="63"/>
      <c r="W158" s="42"/>
      <c r="X158" s="63"/>
      <c r="Y158" s="58"/>
      <c r="Z158" s="42"/>
      <c r="AA158" s="42"/>
      <c r="AB158" s="23"/>
    </row>
    <row r="159" spans="1:28" x14ac:dyDescent="0.25">
      <c r="A159" s="64"/>
      <c r="B159" s="42"/>
      <c r="C159" s="42"/>
      <c r="D159" s="27"/>
      <c r="E159" s="23"/>
      <c r="G159" s="42"/>
      <c r="H159" s="42"/>
      <c r="I159" s="27" t="str">
        <f>_xlfn.XLOOKUP(G159,'Item Usage'!$B$59:$B$65,'Item Usage'!$D$59:$D$65,"---",0,1)</f>
        <v>---</v>
      </c>
      <c r="J159" s="23" t="str">
        <f>_xlfn.XLOOKUP(G159,'Item Usage'!$B$70:$B$100,'Item Usage'!$D$70:$D$100,"---",0,1)</f>
        <v>---</v>
      </c>
      <c r="K159" s="42"/>
      <c r="L159" s="27" t="e" cm="1">
        <f t="array" ref="L159">IF(D159="---","---", SumHH((D159,O159,R159), I159))</f>
        <v>#VALUE!</v>
      </c>
      <c r="M159" s="23" t="e">
        <f t="shared" si="0"/>
        <v>#VALUE!</v>
      </c>
      <c r="N159" s="69">
        <f t="shared" si="1"/>
        <v>0</v>
      </c>
      <c r="O159" s="23"/>
      <c r="P159" s="42"/>
      <c r="Q159" s="42"/>
      <c r="R159" s="23"/>
      <c r="S159" s="63"/>
      <c r="T159" s="42"/>
      <c r="U159" s="63"/>
      <c r="V159" s="63"/>
      <c r="W159" s="42"/>
      <c r="X159" s="63"/>
      <c r="Y159" s="58"/>
      <c r="Z159" s="42"/>
      <c r="AA159" s="42"/>
      <c r="AB159" s="23"/>
    </row>
    <row r="160" spans="1:28" x14ac:dyDescent="0.25">
      <c r="A160" s="64"/>
      <c r="B160" s="42"/>
      <c r="C160" s="42"/>
      <c r="D160" s="27"/>
      <c r="E160" s="23"/>
      <c r="G160" s="42"/>
      <c r="H160" s="42"/>
      <c r="I160" s="27" t="str">
        <f>_xlfn.XLOOKUP(G160,'Item Usage'!$B$59:$B$65,'Item Usage'!$D$59:$D$65,"---",0,1)</f>
        <v>---</v>
      </c>
      <c r="J160" s="23" t="str">
        <f>_xlfn.XLOOKUP(G160,'Item Usage'!$B$70:$B$100,'Item Usage'!$D$70:$D$100,"---",0,1)</f>
        <v>---</v>
      </c>
      <c r="K160" s="42"/>
      <c r="L160" s="27" t="e" cm="1">
        <f t="array" ref="L160">IF(D160="---","---", SumHH((D160,O160,R160), I160))</f>
        <v>#VALUE!</v>
      </c>
      <c r="M160" s="23" t="e">
        <f t="shared" si="0"/>
        <v>#VALUE!</v>
      </c>
      <c r="N160" s="69">
        <f t="shared" si="1"/>
        <v>0</v>
      </c>
      <c r="O160" s="23"/>
      <c r="P160" s="42"/>
      <c r="Q160" s="42"/>
      <c r="R160" s="23"/>
      <c r="S160" s="63"/>
      <c r="T160" s="42"/>
      <c r="U160" s="63"/>
      <c r="V160" s="63"/>
      <c r="W160" s="42"/>
      <c r="X160" s="63"/>
      <c r="Y160" s="58"/>
      <c r="Z160" s="42"/>
      <c r="AA160" s="42"/>
      <c r="AB160" s="23"/>
    </row>
    <row r="161" spans="1:28" x14ac:dyDescent="0.25">
      <c r="A161" s="64"/>
      <c r="B161" s="42"/>
      <c r="C161" s="42"/>
      <c r="D161" s="27"/>
      <c r="E161" s="23"/>
      <c r="G161" s="42"/>
      <c r="H161" s="42"/>
      <c r="I161" s="27" t="str">
        <f>_xlfn.XLOOKUP(G161,'Item Usage'!$B$59:$B$65,'Item Usage'!$D$59:$D$65,"---",0,1)</f>
        <v>---</v>
      </c>
      <c r="J161" s="23" t="str">
        <f>_xlfn.XLOOKUP(G161,'Item Usage'!$B$70:$B$100,'Item Usage'!$D$70:$D$100,"---",0,1)</f>
        <v>---</v>
      </c>
      <c r="K161" s="42"/>
      <c r="L161" s="27" t="e" cm="1">
        <f t="array" ref="L161">IF(D161="---","---", SumHH((D161,O161,R161), I161))</f>
        <v>#VALUE!</v>
      </c>
      <c r="M161" s="23" t="e">
        <f t="shared" si="0"/>
        <v>#VALUE!</v>
      </c>
      <c r="N161" s="69">
        <f t="shared" si="1"/>
        <v>0</v>
      </c>
      <c r="O161" s="23"/>
      <c r="P161" s="42"/>
      <c r="Q161" s="42"/>
      <c r="R161" s="23"/>
      <c r="S161" s="63"/>
      <c r="T161" s="42"/>
      <c r="U161" s="63"/>
      <c r="V161" s="63"/>
      <c r="W161" s="42"/>
      <c r="X161" s="63"/>
      <c r="Y161" s="58"/>
      <c r="Z161" s="42"/>
      <c r="AA161" s="42"/>
      <c r="AB161" s="23"/>
    </row>
    <row r="162" spans="1:28" x14ac:dyDescent="0.25">
      <c r="A162" s="64"/>
      <c r="B162" s="42"/>
      <c r="C162" s="42"/>
      <c r="D162" s="27"/>
      <c r="E162" s="23"/>
      <c r="G162" s="42"/>
      <c r="H162" s="42"/>
      <c r="I162" s="27" t="str">
        <f>_xlfn.XLOOKUP(G162,'Item Usage'!$B$59:$B$65,'Item Usage'!$D$59:$D$65,"---",0,1)</f>
        <v>---</v>
      </c>
      <c r="J162" s="23" t="str">
        <f>_xlfn.XLOOKUP(G162,'Item Usage'!$B$70:$B$100,'Item Usage'!$D$70:$D$100,"---",0,1)</f>
        <v>---</v>
      </c>
      <c r="K162" s="42"/>
      <c r="L162" s="27" t="e" cm="1">
        <f t="array" ref="L162">IF(D162="---","---", SumHH((D162,O162,R162), I162))</f>
        <v>#VALUE!</v>
      </c>
      <c r="M162" s="23" t="e">
        <f t="shared" si="0"/>
        <v>#VALUE!</v>
      </c>
      <c r="N162" s="69">
        <f t="shared" si="1"/>
        <v>0</v>
      </c>
      <c r="O162" s="23"/>
      <c r="P162" s="42"/>
      <c r="Q162" s="42"/>
      <c r="R162" s="23"/>
      <c r="S162" s="63"/>
      <c r="T162" s="42"/>
      <c r="U162" s="63"/>
      <c r="V162" s="63"/>
      <c r="W162" s="42"/>
      <c r="X162" s="63"/>
      <c r="Y162" s="58"/>
      <c r="Z162" s="42"/>
      <c r="AA162" s="42"/>
      <c r="AB162" s="23"/>
    </row>
    <row r="163" spans="1:28" x14ac:dyDescent="0.25">
      <c r="A163" s="64"/>
      <c r="B163" s="42"/>
      <c r="C163" s="42"/>
      <c r="D163" s="27"/>
      <c r="E163" s="23"/>
      <c r="G163" s="42"/>
      <c r="H163" s="42"/>
      <c r="I163" s="27" t="str">
        <f>_xlfn.XLOOKUP(G163,'Item Usage'!$B$59:$B$65,'Item Usage'!$D$59:$D$65,"---",0,1)</f>
        <v>---</v>
      </c>
      <c r="J163" s="23" t="str">
        <f>_xlfn.XLOOKUP(G163,'Item Usage'!$B$70:$B$100,'Item Usage'!$D$70:$D$100,"---",0,1)</f>
        <v>---</v>
      </c>
      <c r="K163" s="42"/>
      <c r="L163" s="27" t="e" cm="1">
        <f t="array" ref="L163">IF(D163="---","---", SumHH((D163,O163,R163), I163))</f>
        <v>#VALUE!</v>
      </c>
      <c r="M163" s="23" t="e">
        <f t="shared" ref="M163:M182" si="2">IF($E163="---","---",($E163+$O163+$R163)-$J163)</f>
        <v>#VALUE!</v>
      </c>
      <c r="N163" s="69">
        <f t="shared" ref="N163:N182" si="3">IF($F163="---","---",($F163+$O163+$R163))</f>
        <v>0</v>
      </c>
      <c r="O163" s="23"/>
      <c r="P163" s="42"/>
      <c r="Q163" s="42"/>
      <c r="R163" s="23"/>
      <c r="S163" s="63"/>
      <c r="T163" s="42"/>
      <c r="U163" s="63"/>
      <c r="V163" s="63"/>
      <c r="W163" s="42"/>
      <c r="X163" s="63"/>
      <c r="Y163" s="58"/>
      <c r="Z163" s="42"/>
      <c r="AA163" s="42"/>
      <c r="AB163" s="23"/>
    </row>
    <row r="164" spans="1:28" x14ac:dyDescent="0.25">
      <c r="A164" s="64"/>
      <c r="B164" s="42"/>
      <c r="C164" s="42"/>
      <c r="D164" s="27"/>
      <c r="E164" s="23"/>
      <c r="G164" s="42"/>
      <c r="H164" s="42"/>
      <c r="I164" s="27" t="str">
        <f>_xlfn.XLOOKUP(G164,'Item Usage'!$B$59:$B$65,'Item Usage'!$D$59:$D$65,"---",0,1)</f>
        <v>---</v>
      </c>
      <c r="J164" s="23" t="str">
        <f>_xlfn.XLOOKUP(G164,'Item Usage'!$B$70:$B$100,'Item Usage'!$D$70:$D$100,"---",0,1)</f>
        <v>---</v>
      </c>
      <c r="K164" s="42"/>
      <c r="L164" s="27" t="e" cm="1">
        <f t="array" ref="L164">IF(D164="---","---", SumHH((D164,O164,R164), I164))</f>
        <v>#VALUE!</v>
      </c>
      <c r="M164" s="23" t="e">
        <f t="shared" si="2"/>
        <v>#VALUE!</v>
      </c>
      <c r="N164" s="69">
        <f t="shared" si="3"/>
        <v>0</v>
      </c>
      <c r="O164" s="23"/>
      <c r="P164" s="42"/>
      <c r="Q164" s="42"/>
      <c r="R164" s="23"/>
      <c r="S164" s="63"/>
      <c r="T164" s="42"/>
      <c r="U164" s="63"/>
      <c r="V164" s="63"/>
      <c r="W164" s="42"/>
      <c r="X164" s="63"/>
      <c r="Y164" s="58"/>
      <c r="Z164" s="42"/>
      <c r="AA164" s="42"/>
      <c r="AB164" s="23"/>
    </row>
    <row r="165" spans="1:28" x14ac:dyDescent="0.25">
      <c r="A165" s="64"/>
      <c r="B165" s="42"/>
      <c r="C165" s="42"/>
      <c r="D165" s="27"/>
      <c r="E165" s="23"/>
      <c r="G165" s="42"/>
      <c r="H165" s="42"/>
      <c r="I165" s="27" t="str">
        <f>_xlfn.XLOOKUP(G165,'Item Usage'!$B$59:$B$65,'Item Usage'!$D$59:$D$65,"---",0,1)</f>
        <v>---</v>
      </c>
      <c r="J165" s="23" t="str">
        <f>_xlfn.XLOOKUP(G165,'Item Usage'!$B$70:$B$100,'Item Usage'!$D$70:$D$100,"---",0,1)</f>
        <v>---</v>
      </c>
      <c r="K165" s="42"/>
      <c r="L165" s="27" t="e" cm="1">
        <f t="array" ref="L165">IF(D165="---","---", SumHH((D165,O165,R165), I165))</f>
        <v>#VALUE!</v>
      </c>
      <c r="M165" s="23" t="e">
        <f t="shared" si="2"/>
        <v>#VALUE!</v>
      </c>
      <c r="N165" s="69">
        <f t="shared" si="3"/>
        <v>0</v>
      </c>
      <c r="O165" s="23"/>
      <c r="P165" s="42"/>
      <c r="Q165" s="42"/>
      <c r="R165" s="23"/>
      <c r="S165" s="63"/>
      <c r="T165" s="42"/>
      <c r="U165" s="63"/>
      <c r="V165" s="63"/>
      <c r="W165" s="42"/>
      <c r="X165" s="63"/>
      <c r="Y165" s="58"/>
      <c r="Z165" s="42"/>
      <c r="AA165" s="42"/>
      <c r="AB165" s="23"/>
    </row>
    <row r="166" spans="1:28" x14ac:dyDescent="0.25">
      <c r="A166" s="64"/>
      <c r="B166" s="42"/>
      <c r="C166" s="42"/>
      <c r="D166" s="27"/>
      <c r="E166" s="23"/>
      <c r="G166" s="42"/>
      <c r="H166" s="42"/>
      <c r="I166" s="27" t="str">
        <f>_xlfn.XLOOKUP(G166,'Item Usage'!$B$59:$B$65,'Item Usage'!$D$59:$D$65,"---",0,1)</f>
        <v>---</v>
      </c>
      <c r="J166" s="23" t="str">
        <f>_xlfn.XLOOKUP(G166,'Item Usage'!$B$70:$B$100,'Item Usage'!$D$70:$D$100,"---",0,1)</f>
        <v>---</v>
      </c>
      <c r="K166" s="42"/>
      <c r="L166" s="27" t="e" cm="1">
        <f t="array" ref="L166">IF(D166="---","---", SumHH((D166,O166,R166), I166))</f>
        <v>#VALUE!</v>
      </c>
      <c r="M166" s="23" t="e">
        <f t="shared" si="2"/>
        <v>#VALUE!</v>
      </c>
      <c r="N166" s="69">
        <f t="shared" si="3"/>
        <v>0</v>
      </c>
      <c r="O166" s="23"/>
      <c r="P166" s="42"/>
      <c r="Q166" s="42"/>
      <c r="R166" s="23"/>
      <c r="S166" s="63"/>
      <c r="T166" s="42"/>
      <c r="U166" s="63"/>
      <c r="V166" s="63"/>
      <c r="W166" s="42"/>
      <c r="X166" s="63"/>
      <c r="Y166" s="58"/>
      <c r="Z166" s="42"/>
      <c r="AA166" s="42"/>
      <c r="AB166" s="23"/>
    </row>
    <row r="167" spans="1:28" x14ac:dyDescent="0.25">
      <c r="A167" s="64"/>
      <c r="B167" s="42"/>
      <c r="C167" s="42"/>
      <c r="D167" s="27"/>
      <c r="E167" s="23"/>
      <c r="G167" s="42"/>
      <c r="H167" s="42"/>
      <c r="I167" s="27" t="str">
        <f>_xlfn.XLOOKUP(G167,'Item Usage'!$B$59:$B$65,'Item Usage'!$D$59:$D$65,"---",0,1)</f>
        <v>---</v>
      </c>
      <c r="J167" s="23" t="str">
        <f>_xlfn.XLOOKUP(G167,'Item Usage'!$B$70:$B$100,'Item Usage'!$D$70:$D$100,"---",0,1)</f>
        <v>---</v>
      </c>
      <c r="K167" s="42"/>
      <c r="L167" s="27" t="e" cm="1">
        <f t="array" ref="L167">IF(D167="---","---", SumHH((D167,O167,R167), I167))</f>
        <v>#VALUE!</v>
      </c>
      <c r="M167" s="23" t="e">
        <f t="shared" si="2"/>
        <v>#VALUE!</v>
      </c>
      <c r="N167" s="69">
        <f t="shared" si="3"/>
        <v>0</v>
      </c>
      <c r="O167" s="23"/>
      <c r="P167" s="42"/>
      <c r="Q167" s="42"/>
      <c r="R167" s="23"/>
      <c r="S167" s="63"/>
      <c r="T167" s="42"/>
      <c r="U167" s="63"/>
      <c r="V167" s="63"/>
      <c r="W167" s="42"/>
      <c r="X167" s="63"/>
      <c r="Y167" s="58"/>
      <c r="Z167" s="42"/>
      <c r="AA167" s="42"/>
      <c r="AB167" s="23"/>
    </row>
    <row r="168" spans="1:28" x14ac:dyDescent="0.25">
      <c r="A168" s="64"/>
      <c r="B168" s="42"/>
      <c r="C168" s="42"/>
      <c r="D168" s="27"/>
      <c r="E168" s="23"/>
      <c r="G168" s="42"/>
      <c r="H168" s="42"/>
      <c r="I168" s="27" t="str">
        <f>_xlfn.XLOOKUP(G168,'Item Usage'!$B$59:$B$65,'Item Usage'!$D$59:$D$65,"---",0,1)</f>
        <v>---</v>
      </c>
      <c r="J168" s="23" t="str">
        <f>_xlfn.XLOOKUP(G168,'Item Usage'!$B$70:$B$100,'Item Usage'!$D$70:$D$100,"---",0,1)</f>
        <v>---</v>
      </c>
      <c r="K168" s="42"/>
      <c r="L168" s="27" t="e" cm="1">
        <f t="array" ref="L168">IF(D168="---","---", SumHH((D168,O168,R168), I168))</f>
        <v>#VALUE!</v>
      </c>
      <c r="M168" s="23" t="e">
        <f t="shared" si="2"/>
        <v>#VALUE!</v>
      </c>
      <c r="N168" s="69">
        <f t="shared" si="3"/>
        <v>0</v>
      </c>
      <c r="O168" s="23"/>
      <c r="P168" s="42"/>
      <c r="Q168" s="42"/>
      <c r="R168" s="23"/>
      <c r="S168" s="63"/>
      <c r="T168" s="42"/>
      <c r="U168" s="63"/>
      <c r="V168" s="63"/>
      <c r="W168" s="42"/>
      <c r="X168" s="63"/>
      <c r="Y168" s="58"/>
      <c r="Z168" s="42"/>
      <c r="AA168" s="42"/>
      <c r="AB168" s="23"/>
    </row>
    <row r="169" spans="1:28" x14ac:dyDescent="0.25">
      <c r="A169" s="64"/>
      <c r="B169" s="42"/>
      <c r="C169" s="42"/>
      <c r="D169" s="27"/>
      <c r="E169" s="23"/>
      <c r="G169" s="42"/>
      <c r="H169" s="42"/>
      <c r="I169" s="27" t="str">
        <f>_xlfn.XLOOKUP(G169,'Item Usage'!$B$59:$B$65,'Item Usage'!$D$59:$D$65,"---",0,1)</f>
        <v>---</v>
      </c>
      <c r="J169" s="23" t="str">
        <f>_xlfn.XLOOKUP(G169,'Item Usage'!$B$70:$B$100,'Item Usage'!$D$70:$D$100,"---",0,1)</f>
        <v>---</v>
      </c>
      <c r="K169" s="42"/>
      <c r="L169" s="27" t="e" cm="1">
        <f t="array" ref="L169">IF(D169="---","---", SumHH((D169,O169,R169), I169))</f>
        <v>#VALUE!</v>
      </c>
      <c r="M169" s="23" t="e">
        <f t="shared" si="2"/>
        <v>#VALUE!</v>
      </c>
      <c r="N169" s="69">
        <f t="shared" si="3"/>
        <v>0</v>
      </c>
      <c r="O169" s="23"/>
      <c r="P169" s="42"/>
      <c r="Q169" s="42"/>
      <c r="R169" s="23"/>
      <c r="S169" s="63"/>
      <c r="T169" s="42"/>
      <c r="U169" s="63"/>
      <c r="V169" s="63"/>
      <c r="W169" s="42"/>
      <c r="X169" s="63"/>
      <c r="Y169" s="58"/>
      <c r="Z169" s="42"/>
      <c r="AA169" s="42"/>
      <c r="AB169" s="23"/>
    </row>
    <row r="170" spans="1:28" x14ac:dyDescent="0.25">
      <c r="A170" s="64"/>
      <c r="B170" s="42"/>
      <c r="C170" s="42"/>
      <c r="D170" s="27"/>
      <c r="E170" s="23"/>
      <c r="G170" s="42"/>
      <c r="H170" s="42"/>
      <c r="I170" s="27" t="str">
        <f>_xlfn.XLOOKUP(G170,'Item Usage'!$B$59:$B$65,'Item Usage'!$D$59:$D$65,"---",0,1)</f>
        <v>---</v>
      </c>
      <c r="J170" s="23" t="str">
        <f>_xlfn.XLOOKUP(G170,'Item Usage'!$B$70:$B$100,'Item Usage'!$D$70:$D$100,"---",0,1)</f>
        <v>---</v>
      </c>
      <c r="K170" s="42"/>
      <c r="L170" s="27" t="e" cm="1">
        <f t="array" ref="L170">IF(D170="---","---", SumHH((D170,O170,R170), I170))</f>
        <v>#VALUE!</v>
      </c>
      <c r="M170" s="23" t="e">
        <f t="shared" si="2"/>
        <v>#VALUE!</v>
      </c>
      <c r="N170" s="69">
        <f t="shared" si="3"/>
        <v>0</v>
      </c>
      <c r="O170" s="23"/>
      <c r="P170" s="42"/>
      <c r="Q170" s="42"/>
      <c r="R170" s="23"/>
      <c r="S170" s="63"/>
      <c r="T170" s="42"/>
      <c r="U170" s="63"/>
      <c r="V170" s="63"/>
      <c r="W170" s="42"/>
      <c r="X170" s="63"/>
      <c r="Y170" s="58"/>
      <c r="Z170" s="42"/>
      <c r="AA170" s="42"/>
      <c r="AB170" s="23"/>
    </row>
    <row r="171" spans="1:28" x14ac:dyDescent="0.25">
      <c r="A171" s="64"/>
      <c r="B171" s="42"/>
      <c r="C171" s="42"/>
      <c r="D171" s="27"/>
      <c r="E171" s="23"/>
      <c r="G171" s="42"/>
      <c r="H171" s="42"/>
      <c r="I171" s="27" t="str">
        <f>_xlfn.XLOOKUP(G171,'Item Usage'!$B$59:$B$65,'Item Usage'!$D$59:$D$65,"---",0,1)</f>
        <v>---</v>
      </c>
      <c r="J171" s="23" t="str">
        <f>_xlfn.XLOOKUP(G171,'Item Usage'!$B$70:$B$100,'Item Usage'!$D$70:$D$100,"---",0,1)</f>
        <v>---</v>
      </c>
      <c r="K171" s="42"/>
      <c r="L171" s="27" t="e" cm="1">
        <f t="array" ref="L171">IF(D171="---","---", SumHH((D171,O171,R171), I171))</f>
        <v>#VALUE!</v>
      </c>
      <c r="M171" s="23" t="e">
        <f t="shared" si="2"/>
        <v>#VALUE!</v>
      </c>
      <c r="N171" s="69">
        <f t="shared" si="3"/>
        <v>0</v>
      </c>
      <c r="O171" s="23"/>
      <c r="P171" s="42"/>
      <c r="Q171" s="42"/>
      <c r="R171" s="23"/>
      <c r="S171" s="63"/>
      <c r="T171" s="42"/>
      <c r="U171" s="63"/>
      <c r="V171" s="63"/>
      <c r="W171" s="42"/>
      <c r="X171" s="63"/>
      <c r="Y171" s="58"/>
      <c r="Z171" s="42"/>
      <c r="AA171" s="42"/>
      <c r="AB171" s="23"/>
    </row>
    <row r="172" spans="1:28" x14ac:dyDescent="0.25">
      <c r="A172" s="64"/>
      <c r="B172" s="42"/>
      <c r="C172" s="42"/>
      <c r="D172" s="27"/>
      <c r="E172" s="23"/>
      <c r="G172" s="42"/>
      <c r="H172" s="42"/>
      <c r="I172" s="27" t="str">
        <f>_xlfn.XLOOKUP(G172,'Item Usage'!$B$59:$B$65,'Item Usage'!$D$59:$D$65,"---",0,1)</f>
        <v>---</v>
      </c>
      <c r="J172" s="23" t="str">
        <f>_xlfn.XLOOKUP(G172,'Item Usage'!$B$70:$B$100,'Item Usage'!$D$70:$D$100,"---",0,1)</f>
        <v>---</v>
      </c>
      <c r="K172" s="42"/>
      <c r="L172" s="27" t="e" cm="1">
        <f t="array" ref="L172">IF(D172="---","---", SumHH((D172,O172,R172), I172))</f>
        <v>#VALUE!</v>
      </c>
      <c r="M172" s="23" t="e">
        <f t="shared" si="2"/>
        <v>#VALUE!</v>
      </c>
      <c r="N172" s="69">
        <f t="shared" si="3"/>
        <v>0</v>
      </c>
      <c r="O172" s="23"/>
      <c r="P172" s="42"/>
      <c r="Q172" s="42"/>
      <c r="R172" s="23"/>
      <c r="S172" s="63"/>
      <c r="T172" s="42"/>
      <c r="U172" s="63"/>
      <c r="V172" s="63"/>
      <c r="W172" s="42"/>
      <c r="X172" s="63"/>
      <c r="Y172" s="58"/>
      <c r="Z172" s="42"/>
      <c r="AA172" s="42"/>
      <c r="AB172" s="23"/>
    </row>
    <row r="173" spans="1:28" x14ac:dyDescent="0.25">
      <c r="A173" s="64"/>
      <c r="B173" s="42"/>
      <c r="C173" s="42"/>
      <c r="D173" s="27"/>
      <c r="E173" s="23"/>
      <c r="G173" s="42"/>
      <c r="H173" s="42"/>
      <c r="I173" s="27" t="str">
        <f>_xlfn.XLOOKUP(G173,'Item Usage'!$B$59:$B$65,'Item Usage'!$D$59:$D$65,"---",0,1)</f>
        <v>---</v>
      </c>
      <c r="J173" s="23" t="str">
        <f>_xlfn.XLOOKUP(G173,'Item Usage'!$B$70:$B$100,'Item Usage'!$D$70:$D$100,"---",0,1)</f>
        <v>---</v>
      </c>
      <c r="K173" s="42"/>
      <c r="L173" s="27" t="e" cm="1">
        <f t="array" ref="L173">IF(D173="---","---", SumHH((D173,O173,R173), I173))</f>
        <v>#VALUE!</v>
      </c>
      <c r="M173" s="23" t="e">
        <f t="shared" si="2"/>
        <v>#VALUE!</v>
      </c>
      <c r="N173" s="69">
        <f t="shared" si="3"/>
        <v>0</v>
      </c>
      <c r="O173" s="23"/>
      <c r="P173" s="42"/>
      <c r="Q173" s="42"/>
      <c r="R173" s="23"/>
      <c r="S173" s="63"/>
      <c r="T173" s="42"/>
      <c r="U173" s="63"/>
      <c r="V173" s="63"/>
      <c r="W173" s="42"/>
      <c r="X173" s="63"/>
      <c r="Y173" s="58"/>
      <c r="Z173" s="42"/>
      <c r="AA173" s="42"/>
      <c r="AB173" s="23"/>
    </row>
    <row r="174" spans="1:28" x14ac:dyDescent="0.25">
      <c r="A174" s="64"/>
      <c r="B174" s="42"/>
      <c r="C174" s="42"/>
      <c r="D174" s="27"/>
      <c r="E174" s="23"/>
      <c r="G174" s="42"/>
      <c r="H174" s="42"/>
      <c r="I174" s="27" t="str">
        <f>_xlfn.XLOOKUP(G174,'Item Usage'!$B$59:$B$65,'Item Usage'!$D$59:$D$65,"---",0,1)</f>
        <v>---</v>
      </c>
      <c r="J174" s="23" t="str">
        <f>_xlfn.XLOOKUP(G174,'Item Usage'!$B$70:$B$100,'Item Usage'!$D$70:$D$100,"---",0,1)</f>
        <v>---</v>
      </c>
      <c r="K174" s="42"/>
      <c r="L174" s="27" t="e" cm="1">
        <f t="array" ref="L174">IF(D174="---","---", SumHH((D174,O174,R174), I174))</f>
        <v>#VALUE!</v>
      </c>
      <c r="M174" s="23" t="e">
        <f t="shared" si="2"/>
        <v>#VALUE!</v>
      </c>
      <c r="N174" s="69">
        <f t="shared" si="3"/>
        <v>0</v>
      </c>
      <c r="O174" s="23"/>
      <c r="P174" s="42"/>
      <c r="Q174" s="42"/>
      <c r="R174" s="23"/>
      <c r="S174" s="63"/>
      <c r="T174" s="42"/>
      <c r="U174" s="63"/>
      <c r="V174" s="63"/>
      <c r="W174" s="42"/>
      <c r="X174" s="63"/>
      <c r="Y174" s="58"/>
      <c r="Z174" s="42"/>
      <c r="AA174" s="42"/>
      <c r="AB174" s="23"/>
    </row>
    <row r="175" spans="1:28" x14ac:dyDescent="0.25">
      <c r="A175" s="64"/>
      <c r="B175" s="42"/>
      <c r="C175" s="42"/>
      <c r="D175" s="27"/>
      <c r="E175" s="23"/>
      <c r="G175" s="42"/>
      <c r="H175" s="42"/>
      <c r="I175" s="27" t="str">
        <f>_xlfn.XLOOKUP(G175,'Item Usage'!$B$59:$B$65,'Item Usage'!$D$59:$D$65,"---",0,1)</f>
        <v>---</v>
      </c>
      <c r="J175" s="23" t="str">
        <f>_xlfn.XLOOKUP(G175,'Item Usage'!$B$70:$B$100,'Item Usage'!$D$70:$D$100,"---",0,1)</f>
        <v>---</v>
      </c>
      <c r="K175" s="42"/>
      <c r="L175" s="27" t="e" cm="1">
        <f t="array" ref="L175">IF(D175="---","---", SumHH((D175,O175,R175), I175))</f>
        <v>#VALUE!</v>
      </c>
      <c r="M175" s="23" t="e">
        <f t="shared" si="2"/>
        <v>#VALUE!</v>
      </c>
      <c r="N175" s="69">
        <f t="shared" si="3"/>
        <v>0</v>
      </c>
      <c r="O175" s="23"/>
      <c r="P175" s="42"/>
      <c r="Q175" s="42"/>
      <c r="R175" s="23"/>
      <c r="S175" s="63"/>
      <c r="T175" s="42"/>
      <c r="U175" s="63"/>
      <c r="V175" s="63"/>
      <c r="W175" s="42"/>
      <c r="X175" s="63"/>
      <c r="Y175" s="58"/>
      <c r="Z175" s="42"/>
      <c r="AA175" s="42"/>
      <c r="AB175" s="23"/>
    </row>
    <row r="176" spans="1:28" x14ac:dyDescent="0.25">
      <c r="A176" s="64"/>
      <c r="B176" s="42"/>
      <c r="C176" s="42"/>
      <c r="D176" s="27"/>
      <c r="E176" s="23"/>
      <c r="G176" s="42"/>
      <c r="H176" s="42"/>
      <c r="I176" s="27" t="str">
        <f>_xlfn.XLOOKUP(G176,'Item Usage'!$B$59:$B$65,'Item Usage'!$D$59:$D$65,"---",0,1)</f>
        <v>---</v>
      </c>
      <c r="J176" s="23" t="str">
        <f>_xlfn.XLOOKUP(G176,'Item Usage'!$B$70:$B$100,'Item Usage'!$D$70:$D$100,"---",0,1)</f>
        <v>---</v>
      </c>
      <c r="K176" s="42"/>
      <c r="L176" s="27" t="e" cm="1">
        <f t="array" ref="L176">IF(D176="---","---", SumHH((D176,O176,R176), I176))</f>
        <v>#VALUE!</v>
      </c>
      <c r="M176" s="23" t="e">
        <f t="shared" si="2"/>
        <v>#VALUE!</v>
      </c>
      <c r="N176" s="69">
        <f t="shared" si="3"/>
        <v>0</v>
      </c>
      <c r="O176" s="23"/>
      <c r="P176" s="42"/>
      <c r="Q176" s="42"/>
      <c r="R176" s="23"/>
      <c r="S176" s="63"/>
      <c r="T176" s="42"/>
      <c r="U176" s="63"/>
      <c r="V176" s="63"/>
      <c r="W176" s="42"/>
      <c r="X176" s="63"/>
      <c r="Y176" s="58"/>
      <c r="Z176" s="42"/>
      <c r="AA176" s="42"/>
      <c r="AB176" s="23"/>
    </row>
    <row r="177" spans="1:28" x14ac:dyDescent="0.25">
      <c r="A177" s="64"/>
      <c r="B177" s="42"/>
      <c r="C177" s="42"/>
      <c r="D177" s="27"/>
      <c r="E177" s="23"/>
      <c r="G177" s="42"/>
      <c r="H177" s="42"/>
      <c r="I177" s="27" t="str">
        <f>_xlfn.XLOOKUP(G177,'Item Usage'!$B$59:$B$65,'Item Usage'!$D$59:$D$65,"---",0,1)</f>
        <v>---</v>
      </c>
      <c r="J177" s="23" t="str">
        <f>_xlfn.XLOOKUP(G177,'Item Usage'!$B$70:$B$100,'Item Usage'!$D$70:$D$100,"---",0,1)</f>
        <v>---</v>
      </c>
      <c r="K177" s="42"/>
      <c r="L177" s="27" t="e" cm="1">
        <f t="array" ref="L177">IF(D177="---","---", SumHH((D177,O177,R177), I177))</f>
        <v>#VALUE!</v>
      </c>
      <c r="M177" s="23" t="e">
        <f t="shared" si="2"/>
        <v>#VALUE!</v>
      </c>
      <c r="N177" s="69">
        <f t="shared" si="3"/>
        <v>0</v>
      </c>
      <c r="O177" s="23"/>
      <c r="P177" s="42"/>
      <c r="Q177" s="42"/>
      <c r="R177" s="23"/>
      <c r="S177" s="63"/>
      <c r="T177" s="42"/>
      <c r="U177" s="63"/>
      <c r="V177" s="63"/>
      <c r="W177" s="42"/>
      <c r="X177" s="63"/>
      <c r="Y177" s="58"/>
      <c r="Z177" s="42"/>
      <c r="AA177" s="42"/>
      <c r="AB177" s="23"/>
    </row>
    <row r="178" spans="1:28" x14ac:dyDescent="0.25">
      <c r="A178" s="64"/>
      <c r="B178" s="42"/>
      <c r="C178" s="42"/>
      <c r="D178" s="27"/>
      <c r="E178" s="23"/>
      <c r="G178" s="42"/>
      <c r="H178" s="42"/>
      <c r="I178" s="27" t="str">
        <f>_xlfn.XLOOKUP(G178,'Item Usage'!$B$59:$B$65,'Item Usage'!$D$59:$D$65,"---",0,1)</f>
        <v>---</v>
      </c>
      <c r="J178" s="23" t="str">
        <f>_xlfn.XLOOKUP(G178,'Item Usage'!$B$70:$B$100,'Item Usage'!$D$70:$D$100,"---",0,1)</f>
        <v>---</v>
      </c>
      <c r="K178" s="42"/>
      <c r="L178" s="27" t="e" cm="1">
        <f t="array" ref="L178">IF(D178="---","---", SumHH((D178,O178,R178), I178))</f>
        <v>#VALUE!</v>
      </c>
      <c r="M178" s="23" t="e">
        <f t="shared" si="2"/>
        <v>#VALUE!</v>
      </c>
      <c r="N178" s="69">
        <f t="shared" si="3"/>
        <v>0</v>
      </c>
      <c r="O178" s="23"/>
      <c r="P178" s="42"/>
      <c r="Q178" s="42"/>
      <c r="R178" s="23"/>
      <c r="S178" s="63"/>
      <c r="T178" s="42"/>
      <c r="U178" s="63"/>
      <c r="V178" s="63"/>
      <c r="W178" s="42"/>
      <c r="X178" s="63"/>
      <c r="Y178" s="58"/>
      <c r="Z178" s="42"/>
      <c r="AA178" s="42"/>
      <c r="AB178" s="23"/>
    </row>
    <row r="179" spans="1:28" x14ac:dyDescent="0.25">
      <c r="A179" s="64"/>
      <c r="B179" s="42"/>
      <c r="C179" s="42"/>
      <c r="D179" s="27"/>
      <c r="E179" s="23"/>
      <c r="G179" s="42"/>
      <c r="H179" s="42"/>
      <c r="I179" s="27" t="str">
        <f>_xlfn.XLOOKUP(G179,'Item Usage'!$B$59:$B$65,'Item Usage'!$D$59:$D$65,"---",0,1)</f>
        <v>---</v>
      </c>
      <c r="J179" s="23" t="str">
        <f>_xlfn.XLOOKUP(G179,'Item Usage'!$B$70:$B$100,'Item Usage'!$D$70:$D$100,"---",0,1)</f>
        <v>---</v>
      </c>
      <c r="K179" s="42"/>
      <c r="L179" s="27" t="e" cm="1">
        <f t="array" ref="L179">IF(D179="---","---", SumHH((D179,O179,R179), I179))</f>
        <v>#VALUE!</v>
      </c>
      <c r="M179" s="23" t="e">
        <f t="shared" si="2"/>
        <v>#VALUE!</v>
      </c>
      <c r="N179" s="69">
        <f t="shared" si="3"/>
        <v>0</v>
      </c>
      <c r="O179" s="23"/>
      <c r="P179" s="42"/>
      <c r="Q179" s="42"/>
      <c r="R179" s="23"/>
      <c r="S179" s="63"/>
      <c r="T179" s="42"/>
      <c r="U179" s="63"/>
      <c r="V179" s="63"/>
      <c r="W179" s="42"/>
      <c r="X179" s="63"/>
      <c r="Y179" s="58"/>
      <c r="Z179" s="42"/>
      <c r="AA179" s="42"/>
      <c r="AB179" s="23"/>
    </row>
    <row r="180" spans="1:28" x14ac:dyDescent="0.25">
      <c r="A180" s="64"/>
      <c r="B180" s="42"/>
      <c r="C180" s="42"/>
      <c r="D180" s="27"/>
      <c r="E180" s="23"/>
      <c r="G180" s="42"/>
      <c r="H180" s="42"/>
      <c r="I180" s="27" t="str">
        <f>_xlfn.XLOOKUP(G180,'Item Usage'!$B$59:$B$65,'Item Usage'!$D$59:$D$65,"---",0,1)</f>
        <v>---</v>
      </c>
      <c r="J180" s="23" t="str">
        <f>_xlfn.XLOOKUP(G180,'Item Usage'!$B$70:$B$100,'Item Usage'!$D$70:$D$100,"---",0,1)</f>
        <v>---</v>
      </c>
      <c r="K180" s="42"/>
      <c r="L180" s="27" t="e" cm="1">
        <f t="array" ref="L180">IF(D180="---","---", SumHH((D180,O180,R180), I180))</f>
        <v>#VALUE!</v>
      </c>
      <c r="M180" s="23" t="e">
        <f t="shared" si="2"/>
        <v>#VALUE!</v>
      </c>
      <c r="N180" s="69">
        <f t="shared" si="3"/>
        <v>0</v>
      </c>
      <c r="O180" s="23"/>
      <c r="P180" s="42"/>
      <c r="Q180" s="42"/>
      <c r="R180" s="23"/>
      <c r="S180" s="63"/>
      <c r="T180" s="42"/>
      <c r="U180" s="63"/>
      <c r="V180" s="63"/>
      <c r="W180" s="42"/>
      <c r="X180" s="63"/>
      <c r="Y180" s="58"/>
      <c r="Z180" s="42"/>
      <c r="AA180" s="42"/>
      <c r="AB180" s="23"/>
    </row>
    <row r="181" spans="1:28" x14ac:dyDescent="0.25">
      <c r="A181" s="64"/>
      <c r="B181" s="42"/>
      <c r="C181" s="42"/>
      <c r="D181" s="27"/>
      <c r="E181" s="23"/>
      <c r="G181" s="42"/>
      <c r="H181" s="42"/>
      <c r="I181" s="27" t="str">
        <f>_xlfn.XLOOKUP(G181,'Item Usage'!$B$59:$B$65,'Item Usage'!$D$59:$D$65,"---",0,1)</f>
        <v>---</v>
      </c>
      <c r="J181" s="23" t="str">
        <f>_xlfn.XLOOKUP(G181,'Item Usage'!$B$70:$B$100,'Item Usage'!$D$70:$D$100,"---",0,1)</f>
        <v>---</v>
      </c>
      <c r="K181" s="42"/>
      <c r="L181" s="27" t="e" cm="1">
        <f t="array" ref="L181">IF(D181="---","---", SumHH((D181,O181,R181), I181))</f>
        <v>#VALUE!</v>
      </c>
      <c r="M181" s="23" t="e">
        <f t="shared" si="2"/>
        <v>#VALUE!</v>
      </c>
      <c r="N181" s="69">
        <f t="shared" si="3"/>
        <v>0</v>
      </c>
      <c r="O181" s="23"/>
      <c r="P181" s="42"/>
      <c r="Q181" s="42"/>
      <c r="R181" s="23"/>
      <c r="S181" s="63"/>
      <c r="T181" s="42"/>
      <c r="U181" s="63"/>
      <c r="V181" s="63"/>
      <c r="W181" s="42"/>
      <c r="X181" s="63"/>
      <c r="Y181" s="58"/>
      <c r="Z181" s="42"/>
      <c r="AA181" s="42"/>
      <c r="AB181" s="23"/>
    </row>
    <row r="182" spans="1:28" x14ac:dyDescent="0.25">
      <c r="A182" s="64"/>
      <c r="B182" s="42"/>
      <c r="C182" s="42"/>
      <c r="D182" s="27"/>
      <c r="E182" s="23"/>
      <c r="G182" s="42"/>
      <c r="H182" s="42"/>
      <c r="I182" s="27" t="str">
        <f>_xlfn.XLOOKUP(G182,'Item Usage'!$B$59:$B$65,'Item Usage'!$D$59:$D$65,"---",0,1)</f>
        <v>---</v>
      </c>
      <c r="J182" s="23" t="str">
        <f>_xlfn.XLOOKUP(G182,'Item Usage'!$B$70:$B$100,'Item Usage'!$D$70:$D$100,"---",0,1)</f>
        <v>---</v>
      </c>
      <c r="K182" s="42"/>
      <c r="L182" s="27" t="e" cm="1">
        <f t="array" ref="L182">IF(D182="---","---", SumHH((D182,O182,R182), I182))</f>
        <v>#VALUE!</v>
      </c>
      <c r="M182" s="23" t="e">
        <f t="shared" si="2"/>
        <v>#VALUE!</v>
      </c>
      <c r="N182" s="69">
        <f t="shared" si="3"/>
        <v>0</v>
      </c>
      <c r="O182" s="23"/>
      <c r="P182" s="42"/>
      <c r="Q182" s="42"/>
      <c r="R182" s="23"/>
      <c r="S182" s="63"/>
      <c r="T182" s="42"/>
      <c r="U182" s="63"/>
      <c r="V182" s="63"/>
      <c r="W182" s="42"/>
      <c r="X182" s="63"/>
      <c r="Y182" s="58"/>
      <c r="Z182" s="42"/>
      <c r="AA182" s="42"/>
      <c r="AB182" s="23"/>
    </row>
  </sheetData>
  <conditionalFormatting sqref="L4:L138">
    <cfRule type="expression" dxfId="12" priority="2">
      <formula>L4&lt;TIME(10,0,0)</formula>
    </cfRule>
    <cfRule type="expression" dxfId="11" priority="24">
      <formula>L4&lt;TIME(20,0,0)</formula>
    </cfRule>
  </conditionalFormatting>
  <conditionalFormatting sqref="A4:AB138">
    <cfRule type="expression" dxfId="10" priority="1">
      <formula>$A4=TRUE</formula>
    </cfRule>
  </conditionalFormatting>
  <conditionalFormatting sqref="N4:N138">
    <cfRule type="expression" dxfId="9" priority="3">
      <formula>AND(N4-TODAY()&lt;5, N4&gt;=TODAY())</formula>
    </cfRule>
    <cfRule type="expression" dxfId="8" priority="23">
      <formula>AND(N4-TODAY()&lt;10, N4&gt;=TODAY())</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B3598-0524-43A3-B084-2BCC22F9C091}">
  <sheetPr codeName="Sheet13">
    <tabColor rgb="FF92D050"/>
  </sheetPr>
  <dimension ref="A1:Q8"/>
  <sheetViews>
    <sheetView zoomScale="75" zoomScaleNormal="75" workbookViewId="0">
      <selection activeCell="Q3" sqref="Q3"/>
    </sheetView>
  </sheetViews>
  <sheetFormatPr defaultRowHeight="15" x14ac:dyDescent="0.25"/>
  <cols>
    <col min="1" max="1" width="24" style="4" customWidth="1"/>
    <col min="2" max="2" width="26" bestFit="1" customWidth="1"/>
    <col min="3" max="3" width="14.140625" style="4" bestFit="1" customWidth="1"/>
    <col min="4" max="4" width="55.28515625" customWidth="1"/>
    <col min="5" max="5" width="14.42578125" style="4" bestFit="1" customWidth="1"/>
    <col min="6" max="6" width="22" bestFit="1" customWidth="1"/>
    <col min="7" max="7" width="28.7109375" bestFit="1" customWidth="1"/>
    <col min="8" max="8" width="19" style="4" bestFit="1" customWidth="1"/>
    <col min="9" max="9" width="7.85546875" style="4" customWidth="1"/>
    <col min="10" max="10" width="10.85546875" style="4" bestFit="1" customWidth="1"/>
    <col min="11" max="11" width="10.140625" style="4" customWidth="1"/>
    <col min="12" max="12" width="10.7109375" style="4" customWidth="1"/>
    <col min="13" max="13" width="9.5703125" customWidth="1"/>
    <col min="14" max="14" width="9.85546875" customWidth="1"/>
    <col min="15" max="15" width="10.5703125" customWidth="1"/>
    <col min="16" max="16" width="10" customWidth="1"/>
    <col min="17" max="17" width="18.42578125" bestFit="1" customWidth="1"/>
  </cols>
  <sheetData>
    <row r="1" spans="1:17" ht="39.75" customHeight="1" x14ac:dyDescent="0.25">
      <c r="A1" s="67" t="str">
        <f>'Item Usage'!B1</f>
        <v>ZZ383</v>
      </c>
      <c r="B1" s="129" t="s">
        <v>361</v>
      </c>
      <c r="C1" s="129"/>
      <c r="D1" s="129"/>
      <c r="E1" s="129"/>
      <c r="F1" s="129"/>
      <c r="G1" s="129"/>
      <c r="H1"/>
      <c r="I1"/>
      <c r="J1"/>
      <c r="K1"/>
      <c r="L1"/>
    </row>
    <row r="2" spans="1:17" ht="39.75" customHeight="1" x14ac:dyDescent="0.25">
      <c r="A2"/>
      <c r="B2" s="130"/>
      <c r="C2" s="130"/>
      <c r="D2" s="130"/>
      <c r="E2" s="130"/>
      <c r="F2" s="130"/>
      <c r="G2" s="130"/>
      <c r="H2"/>
      <c r="I2"/>
      <c r="J2"/>
      <c r="K2"/>
      <c r="L2"/>
    </row>
    <row r="3" spans="1:17" s="116" customFormat="1" ht="78.75" customHeight="1" x14ac:dyDescent="0.25">
      <c r="A3" s="93" t="s">
        <v>84</v>
      </c>
      <c r="B3" s="93" t="s">
        <v>91</v>
      </c>
      <c r="C3" s="93" t="s">
        <v>92</v>
      </c>
      <c r="D3" s="93" t="s">
        <v>94</v>
      </c>
      <c r="E3" s="93" t="s">
        <v>95</v>
      </c>
      <c r="F3" s="93" t="s">
        <v>97</v>
      </c>
      <c r="G3" s="93" t="s">
        <v>93</v>
      </c>
      <c r="H3" s="93" t="s">
        <v>96</v>
      </c>
      <c r="I3" s="93" t="s">
        <v>98</v>
      </c>
      <c r="J3" s="93" t="s">
        <v>85</v>
      </c>
      <c r="K3" s="93" t="s">
        <v>89</v>
      </c>
      <c r="L3" s="93" t="s">
        <v>325</v>
      </c>
      <c r="M3" s="93" t="s">
        <v>90</v>
      </c>
      <c r="N3" s="93" t="s">
        <v>99</v>
      </c>
      <c r="O3" s="93" t="s">
        <v>87</v>
      </c>
      <c r="P3" s="93" t="s">
        <v>88</v>
      </c>
      <c r="Q3" s="115" t="s">
        <v>337</v>
      </c>
    </row>
    <row r="4" spans="1:17" x14ac:dyDescent="0.25">
      <c r="A4"/>
      <c r="C4"/>
      <c r="E4"/>
      <c r="H4"/>
      <c r="I4"/>
      <c r="J4"/>
      <c r="K4"/>
      <c r="L4"/>
      <c r="M4" s="16"/>
      <c r="N4" s="16"/>
      <c r="O4" s="16"/>
      <c r="P4" s="16"/>
      <c r="Q4" s="88"/>
    </row>
    <row r="5" spans="1:17" x14ac:dyDescent="0.25">
      <c r="A5"/>
      <c r="C5"/>
      <c r="E5"/>
      <c r="H5"/>
      <c r="I5"/>
      <c r="J5"/>
      <c r="K5"/>
      <c r="L5"/>
      <c r="M5" s="16"/>
      <c r="N5" s="16"/>
      <c r="O5" s="16"/>
      <c r="P5" s="16"/>
      <c r="Q5" s="88"/>
    </row>
    <row r="6" spans="1:17" x14ac:dyDescent="0.25">
      <c r="A6"/>
      <c r="C6"/>
      <c r="E6"/>
      <c r="H6"/>
      <c r="I6"/>
      <c r="J6"/>
      <c r="K6"/>
      <c r="L6"/>
      <c r="M6" s="16"/>
      <c r="N6" s="16"/>
      <c r="O6" s="16"/>
      <c r="P6" s="16"/>
      <c r="Q6" s="88"/>
    </row>
    <row r="7" spans="1:17" x14ac:dyDescent="0.25">
      <c r="A7"/>
      <c r="C7"/>
      <c r="E7"/>
      <c r="H7"/>
      <c r="I7"/>
      <c r="J7"/>
      <c r="K7"/>
      <c r="L7"/>
      <c r="M7" s="16"/>
      <c r="N7" s="16"/>
      <c r="O7" s="16"/>
      <c r="P7" s="16"/>
      <c r="Q7" s="88"/>
    </row>
    <row r="8" spans="1:17" x14ac:dyDescent="0.25">
      <c r="A8"/>
      <c r="C8"/>
      <c r="E8"/>
      <c r="H8"/>
      <c r="I8"/>
      <c r="J8"/>
      <c r="K8"/>
      <c r="L8"/>
      <c r="M8" s="16"/>
      <c r="N8" s="16"/>
      <c r="O8" s="16"/>
      <c r="P8" s="16"/>
      <c r="Q8" s="88"/>
    </row>
  </sheetData>
  <mergeCells count="1">
    <mergeCell ref="B1:G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827B9-F8E4-4B61-AA3B-798AD54C1EF6}">
  <sheetPr codeName="Sheet6">
    <tabColor rgb="FF92D050"/>
  </sheetPr>
  <dimension ref="A1:M11"/>
  <sheetViews>
    <sheetView topLeftCell="B1" zoomScale="75" zoomScaleNormal="75" workbookViewId="0">
      <selection activeCell="F2" sqref="F2"/>
    </sheetView>
  </sheetViews>
  <sheetFormatPr defaultRowHeight="15" x14ac:dyDescent="0.25"/>
  <cols>
    <col min="1" max="1" width="7.7109375" style="4" hidden="1" customWidth="1"/>
    <col min="2" max="2" width="24" customWidth="1"/>
    <col min="3" max="3" width="16.28515625" style="4" customWidth="1"/>
    <col min="4" max="5" width="14.7109375" style="4" customWidth="1"/>
    <col min="6" max="6" width="50.140625" style="68" customWidth="1"/>
    <col min="7" max="7" width="18.5703125" style="4" customWidth="1"/>
    <col min="8" max="8" width="18.5703125" style="27" customWidth="1"/>
    <col min="9" max="9" width="12.7109375" style="27" customWidth="1"/>
    <col min="10" max="10" width="12.7109375" style="23" customWidth="1"/>
    <col min="11" max="11" width="12.7109375" style="69" customWidth="1"/>
    <col min="12" max="12" width="9.140625" style="4"/>
  </cols>
  <sheetData>
    <row r="1" spans="1:13" ht="39.75" customHeight="1" x14ac:dyDescent="0.25">
      <c r="B1" s="67" t="str">
        <f>'Item Usage'!B1</f>
        <v>ZZ383</v>
      </c>
      <c r="E1" s="39" t="s">
        <v>318</v>
      </c>
      <c r="F1" s="43"/>
      <c r="H1" s="131" t="str">
        <f>IF(ISBLANK(B3), "PLANNING", "UNOPENED")</f>
        <v>PLANNING</v>
      </c>
      <c r="I1" s="131"/>
      <c r="J1" s="131"/>
      <c r="K1" s="131"/>
      <c r="L1" s="131"/>
      <c r="M1" s="4"/>
    </row>
    <row r="2" spans="1:13" s="86" customFormat="1" ht="78.75" customHeight="1" x14ac:dyDescent="0.25">
      <c r="A2" s="96" t="s">
        <v>303</v>
      </c>
      <c r="B2" s="97" t="s">
        <v>91</v>
      </c>
      <c r="C2" s="96" t="s">
        <v>92</v>
      </c>
      <c r="D2" s="96" t="s">
        <v>89</v>
      </c>
      <c r="E2" s="96" t="s">
        <v>84</v>
      </c>
      <c r="F2" s="96" t="s">
        <v>94</v>
      </c>
      <c r="G2" s="96" t="s">
        <v>95</v>
      </c>
      <c r="H2" s="96" t="s">
        <v>90</v>
      </c>
      <c r="I2" s="96" t="s">
        <v>299</v>
      </c>
      <c r="J2" s="96" t="s">
        <v>301</v>
      </c>
      <c r="K2" s="96" t="s">
        <v>302</v>
      </c>
      <c r="L2" s="96" t="s">
        <v>88</v>
      </c>
    </row>
    <row r="3" spans="1:13" x14ac:dyDescent="0.25">
      <c r="A3" s="31" t="e" cm="1" vm="1">
        <f t="array" ref="A3">_xlfn.CHOOSECOLS(_xlfn.HSTACK(_xlfn._xlws.FILTER(ROW(Table_SITS[]), Table_SITS[Selector]), _xlfn._xlws.FILTER(Table_SITS[], Table_SITS[Selector])), 1,20,21,18,8,23,24,19,13,14,15,16)</f>
        <v>#VALUE!</v>
      </c>
      <c r="B3" s="32"/>
      <c r="C3" s="31"/>
      <c r="D3" s="31"/>
      <c r="E3" s="31"/>
      <c r="F3" s="87"/>
      <c r="G3" s="53"/>
      <c r="H3" s="33"/>
      <c r="I3" s="33"/>
      <c r="J3" s="53"/>
      <c r="K3" s="34"/>
      <c r="L3" s="27"/>
    </row>
    <row r="4" spans="1:13" x14ac:dyDescent="0.25">
      <c r="G4" s="27"/>
      <c r="L4" s="27"/>
    </row>
    <row r="5" spans="1:13" x14ac:dyDescent="0.25">
      <c r="A5" s="31"/>
      <c r="B5" s="32"/>
      <c r="G5" s="23"/>
      <c r="L5" s="27"/>
    </row>
    <row r="6" spans="1:13" x14ac:dyDescent="0.25">
      <c r="A6" s="31"/>
      <c r="B6" s="32"/>
      <c r="G6" s="23"/>
      <c r="L6" s="27"/>
    </row>
    <row r="7" spans="1:13" x14ac:dyDescent="0.25">
      <c r="A7" s="31"/>
      <c r="B7" s="32"/>
      <c r="G7" s="23"/>
      <c r="L7" s="27"/>
    </row>
    <row r="8" spans="1:13" x14ac:dyDescent="0.25">
      <c r="A8" s="31"/>
      <c r="B8" s="32"/>
      <c r="L8" s="27"/>
    </row>
    <row r="9" spans="1:13" x14ac:dyDescent="0.25">
      <c r="A9" s="31"/>
      <c r="B9" s="32"/>
      <c r="L9" s="27"/>
    </row>
    <row r="10" spans="1:13" x14ac:dyDescent="0.25">
      <c r="A10" s="31"/>
      <c r="B10" s="32"/>
    </row>
    <row r="11" spans="1:13" x14ac:dyDescent="0.25">
      <c r="A11" s="31"/>
      <c r="B11" s="32"/>
    </row>
  </sheetData>
  <mergeCells count="1">
    <mergeCell ref="H1:L1"/>
  </mergeCells>
  <phoneticPr fontId="3" type="noConversion"/>
  <conditionalFormatting sqref="H1">
    <cfRule type="cellIs" dxfId="7" priority="1" operator="equal">
      <formula>"Planning"</formula>
    </cfRule>
    <cfRule type="cellIs" dxfId="6" priority="3" operator="equal">
      <formula>"Unopened"</formula>
    </cfRule>
  </conditionalFormatting>
  <dataValidations count="1">
    <dataValidation allowBlank="1" showInputMessage="1" showErrorMessage="1" sqref="E1" xr:uid="{F7AF95CF-C861-4221-8E96-968FC2759F14}"/>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51C3-13D7-47F1-B498-AF277B1E34A9}">
  <sheetPr codeName="Sheet4">
    <tabColor rgb="FF92D050"/>
  </sheetPr>
  <dimension ref="A1:Z105"/>
  <sheetViews>
    <sheetView zoomScale="75" zoomScaleNormal="75" workbookViewId="0">
      <selection activeCell="L6" sqref="L6"/>
    </sheetView>
  </sheetViews>
  <sheetFormatPr defaultRowHeight="15" x14ac:dyDescent="0.25"/>
  <cols>
    <col min="1" max="1" width="24" customWidth="1"/>
    <col min="2" max="2" width="16.140625" style="4" bestFit="1" customWidth="1"/>
    <col min="3" max="3" width="19.28515625" style="4" customWidth="1"/>
    <col min="4" max="4" width="44.85546875" customWidth="1"/>
    <col min="5" max="5" width="15.5703125" style="4" customWidth="1"/>
    <col min="6" max="6" width="15.28515625" style="4" customWidth="1"/>
    <col min="7" max="8" width="22.28515625" style="4" customWidth="1"/>
    <col min="9" max="9" width="17.5703125" style="4" customWidth="1"/>
    <col min="10" max="10" width="15.28515625" style="4" customWidth="1"/>
    <col min="11" max="11" width="5.5703125" hidden="1" customWidth="1"/>
    <col min="12" max="12" width="13" customWidth="1"/>
    <col min="26" max="26" width="0" hidden="1" customWidth="1"/>
  </cols>
  <sheetData>
    <row r="1" spans="1:26" ht="39.75" customHeight="1" x14ac:dyDescent="0.25">
      <c r="A1" s="67" t="str">
        <f>'Item Usage'!B1</f>
        <v>ZZ383</v>
      </c>
      <c r="B1" s="39" t="s">
        <v>307</v>
      </c>
      <c r="C1" s="43"/>
      <c r="E1" s="129" t="s">
        <v>774</v>
      </c>
      <c r="F1" s="133"/>
      <c r="G1" s="133"/>
      <c r="H1" s="133"/>
      <c r="I1" s="133"/>
      <c r="J1"/>
      <c r="Z1" t="s">
        <v>777</v>
      </c>
    </row>
    <row r="2" spans="1:26" ht="39.75" customHeight="1" x14ac:dyDescent="0.25">
      <c r="B2" s="39" t="s">
        <v>317</v>
      </c>
      <c r="C2" s="36">
        <f>COUNTA(_xlfn.UNIQUE(Table_SITS[In Work ORN])) - 1</f>
        <v>0</v>
      </c>
      <c r="E2" s="133"/>
      <c r="F2" s="133"/>
      <c r="G2" s="133"/>
      <c r="H2" s="133"/>
      <c r="I2" s="133"/>
      <c r="J2"/>
    </row>
    <row r="3" spans="1:26" s="40" customFormat="1" ht="39.75" customHeight="1" x14ac:dyDescent="0.25">
      <c r="E3" s="134"/>
      <c r="F3" s="134"/>
      <c r="G3" s="134"/>
      <c r="H3" s="134"/>
      <c r="I3" s="134"/>
    </row>
    <row r="4" spans="1:26" ht="78.75" customHeight="1" x14ac:dyDescent="0.25">
      <c r="A4" s="98" t="s">
        <v>91</v>
      </c>
      <c r="B4" s="98" t="s">
        <v>92</v>
      </c>
      <c r="C4" s="98" t="s">
        <v>84</v>
      </c>
      <c r="D4" s="98" t="s">
        <v>94</v>
      </c>
      <c r="E4" s="98" t="s">
        <v>95</v>
      </c>
      <c r="F4" s="98" t="s">
        <v>90</v>
      </c>
      <c r="G4" s="98" t="s">
        <v>352</v>
      </c>
      <c r="H4" s="98" t="s">
        <v>353</v>
      </c>
      <c r="I4" s="98" t="s">
        <v>304</v>
      </c>
      <c r="J4" s="98" t="s">
        <v>88</v>
      </c>
      <c r="K4" s="99" t="s">
        <v>308</v>
      </c>
      <c r="L4" s="98" t="s">
        <v>309</v>
      </c>
    </row>
    <row r="5" spans="1:26" x14ac:dyDescent="0.25">
      <c r="A5" s="41"/>
      <c r="B5" s="42"/>
      <c r="C5" s="42"/>
      <c r="D5" s="60"/>
      <c r="E5" s="42"/>
      <c r="F5" s="27"/>
      <c r="G5" s="27"/>
      <c r="H5" s="23"/>
      <c r="I5" s="69"/>
      <c r="J5" s="27"/>
      <c r="L5" s="41"/>
    </row>
    <row r="6" spans="1:26" x14ac:dyDescent="0.25">
      <c r="A6" s="41"/>
      <c r="B6" s="42"/>
      <c r="C6" s="42"/>
      <c r="D6" s="60"/>
      <c r="E6" s="42"/>
      <c r="F6" s="27"/>
      <c r="G6" s="27"/>
      <c r="H6" s="23"/>
      <c r="I6" s="69"/>
      <c r="J6" s="27"/>
      <c r="L6" s="41"/>
    </row>
    <row r="7" spans="1:26" x14ac:dyDescent="0.25">
      <c r="A7" s="41"/>
      <c r="B7" s="42"/>
      <c r="C7" s="42"/>
      <c r="D7" s="60"/>
      <c r="E7" s="42"/>
      <c r="F7" s="27"/>
      <c r="G7" s="27"/>
      <c r="H7" s="23"/>
      <c r="I7" s="69"/>
      <c r="J7" s="27"/>
      <c r="L7" s="41"/>
    </row>
    <row r="8" spans="1:26" x14ac:dyDescent="0.25">
      <c r="A8" s="41"/>
      <c r="B8" s="42"/>
      <c r="C8" s="42"/>
      <c r="D8" s="60"/>
      <c r="E8" s="42"/>
      <c r="F8" s="27"/>
      <c r="G8" s="27"/>
      <c r="H8" s="23"/>
      <c r="I8" s="69"/>
      <c r="J8" s="27"/>
      <c r="L8" s="41"/>
    </row>
    <row r="9" spans="1:26" x14ac:dyDescent="0.25">
      <c r="A9" s="41"/>
      <c r="B9" s="42"/>
      <c r="C9" s="42"/>
      <c r="D9" s="41"/>
      <c r="E9" s="42"/>
      <c r="F9" s="27"/>
      <c r="G9" s="27"/>
      <c r="H9" s="23"/>
      <c r="I9" s="69"/>
      <c r="J9" s="27"/>
      <c r="L9" s="41"/>
    </row>
    <row r="10" spans="1:26" x14ac:dyDescent="0.25">
      <c r="A10" s="41"/>
      <c r="B10" s="42"/>
      <c r="C10" s="42"/>
      <c r="D10" s="41"/>
      <c r="E10" s="42"/>
      <c r="F10" s="27"/>
      <c r="G10" s="27"/>
      <c r="H10" s="23"/>
      <c r="I10" s="69"/>
      <c r="J10" s="27"/>
      <c r="L10" s="41"/>
    </row>
    <row r="11" spans="1:26" x14ac:dyDescent="0.25">
      <c r="A11" s="41"/>
      <c r="B11" s="42"/>
      <c r="C11" s="42"/>
      <c r="D11" s="41"/>
      <c r="E11" s="42"/>
      <c r="F11" s="27"/>
      <c r="G11" s="27"/>
      <c r="H11" s="23"/>
      <c r="I11" s="69"/>
      <c r="J11" s="27"/>
      <c r="L11" s="41"/>
    </row>
    <row r="105" spans="12:12" x14ac:dyDescent="0.25">
      <c r="L105" s="2"/>
    </row>
  </sheetData>
  <mergeCells count="1">
    <mergeCell ref="E1:I3"/>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338400-A632-4826-8E0F-BBB5A763FDF8}">
          <x14:formula1>
            <xm:f>SITS!$B$4:$B$11</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0943A-7A9B-4490-ADC8-3F12AA2AFB82}">
  <sheetPr codeName="Sheet8">
    <tabColor rgb="FF92D050"/>
  </sheetPr>
  <dimension ref="A1:P50"/>
  <sheetViews>
    <sheetView topLeftCell="B1" zoomScale="75" zoomScaleNormal="75" workbookViewId="0">
      <selection activeCell="D2" sqref="D2"/>
    </sheetView>
  </sheetViews>
  <sheetFormatPr defaultRowHeight="15" x14ac:dyDescent="0.25"/>
  <cols>
    <col min="1" max="1" width="7.7109375" style="4" hidden="1" customWidth="1"/>
    <col min="2" max="2" width="24" customWidth="1"/>
    <col min="3" max="3" width="12" style="4" customWidth="1"/>
    <col min="4" max="4" width="19.28515625" style="4" customWidth="1"/>
    <col min="5" max="5" width="47.5703125" customWidth="1"/>
    <col min="6" max="6" width="12.140625" style="4" customWidth="1"/>
    <col min="7" max="7" width="18.5703125" style="4" customWidth="1"/>
    <col min="8" max="8" width="11.7109375" style="44" customWidth="1"/>
    <col min="9" max="9" width="11.7109375" style="46" customWidth="1"/>
    <col min="10" max="10" width="11.7109375" style="47" customWidth="1"/>
    <col min="11" max="11" width="13" style="4" customWidth="1"/>
    <col min="12" max="12" width="13" style="4" hidden="1" customWidth="1"/>
    <col min="13" max="14" width="13" style="42" customWidth="1"/>
    <col min="15" max="15" width="13" style="4" customWidth="1"/>
  </cols>
  <sheetData>
    <row r="1" spans="1:16" ht="39.75" customHeight="1" x14ac:dyDescent="0.25">
      <c r="B1" s="67" t="str">
        <f>'Item Usage'!B1</f>
        <v>ZZ383</v>
      </c>
      <c r="C1" s="39" t="s">
        <v>346</v>
      </c>
      <c r="D1" s="43"/>
      <c r="E1" s="37"/>
      <c r="F1" s="51"/>
      <c r="G1" s="35"/>
      <c r="H1" s="4"/>
      <c r="I1" s="44"/>
      <c r="J1" s="68"/>
      <c r="K1" s="47"/>
      <c r="M1" s="4"/>
      <c r="N1" s="4"/>
      <c r="P1" s="4"/>
    </row>
    <row r="2" spans="1:16" ht="78.75" customHeight="1" x14ac:dyDescent="0.25">
      <c r="A2" s="98" t="s">
        <v>303</v>
      </c>
      <c r="B2" s="98" t="s">
        <v>91</v>
      </c>
      <c r="C2" s="98" t="s">
        <v>300</v>
      </c>
      <c r="D2" s="98" t="s">
        <v>85</v>
      </c>
      <c r="E2" s="98" t="s">
        <v>94</v>
      </c>
      <c r="F2" s="98" t="s">
        <v>95</v>
      </c>
      <c r="G2" s="98" t="s">
        <v>90</v>
      </c>
      <c r="H2" s="96" t="s">
        <v>299</v>
      </c>
      <c r="I2" s="96" t="s">
        <v>301</v>
      </c>
      <c r="J2" s="96" t="s">
        <v>302</v>
      </c>
      <c r="K2" s="96" t="s">
        <v>313</v>
      </c>
      <c r="L2" s="96" t="s">
        <v>308</v>
      </c>
      <c r="M2" s="96" t="s">
        <v>314</v>
      </c>
      <c r="N2" s="96" t="s">
        <v>315</v>
      </c>
      <c r="O2" s="96" t="s">
        <v>316</v>
      </c>
    </row>
    <row r="3" spans="1:16" x14ac:dyDescent="0.25">
      <c r="A3" s="31" t="e" cm="1" vm="1">
        <f t="array" ref="A3">_xlfn.CHOOSECOLS(
    _xlfn.HSTACK(
        _xlfn._xlws.FILTER(
            ROW(Table_SITS[]),
            (Table_SITS[Selector]) *
            (Table_SITS[Task Type Code] &lt;&gt; "PT2-H") *
            (Table_SITS[Task Type Code] &lt;&gt; "PT3-H") *
            (Table_SITS[Task Type Code] &lt;&gt; "PT2-D") *
            (Table_SITS[Task Type Code] &lt;&gt; "PT3-D")
        ),
        _xlfn._xlws.FILTER(
            Table_SITS[],
            (Table_SITS[Selector]) *
            (Table_SITS[Task Type Code] &lt;&gt; "PT2-H") *
            (Table_SITS[Task Type Code] &lt;&gt; "PT3-H") *
            (Table_SITS[Task Type Code] &lt;&gt; "PT2-D") *
            (Table_SITS[Task Type Code] &lt;&gt; "PT3-D")
        )
    ),
    1, 20, 21, 18, 23, 24, 19, 13, 14, 15, 16
)</f>
        <v>#VALUE!</v>
      </c>
      <c r="B3" s="32"/>
      <c r="C3" s="31"/>
      <c r="D3" s="31"/>
      <c r="E3" s="32"/>
      <c r="F3" s="31"/>
      <c r="G3" s="33"/>
      <c r="H3" s="45"/>
      <c r="I3" s="54"/>
      <c r="J3" s="48"/>
      <c r="K3" s="33"/>
      <c r="L3" s="78"/>
      <c r="M3" s="81"/>
      <c r="N3" s="33" t="str">
        <f>IF(M3="","",K3+M3)</f>
        <v/>
      </c>
      <c r="O3" s="49" t="str">
        <f>IF(N3="","",N3/G3)</f>
        <v/>
      </c>
    </row>
    <row r="4" spans="1:16" x14ac:dyDescent="0.25">
      <c r="G4" s="27"/>
      <c r="M4" s="82"/>
      <c r="N4" s="33" t="str">
        <f>IF(M4="","",K4+M4)</f>
        <v/>
      </c>
      <c r="O4" s="49" t="str">
        <f>IF(N4="","",N4/G4)</f>
        <v/>
      </c>
    </row>
    <row r="5" spans="1:16" x14ac:dyDescent="0.25">
      <c r="A5" s="31"/>
      <c r="B5" s="32"/>
      <c r="M5" s="23"/>
      <c r="N5" s="53" t="str">
        <f t="shared" ref="N5:N50" si="0">IF(M5="","",K5+M5)</f>
        <v/>
      </c>
      <c r="O5" s="49" t="str">
        <f>IF(N5="","",N5/G5)</f>
        <v/>
      </c>
    </row>
    <row r="6" spans="1:16" x14ac:dyDescent="0.25">
      <c r="A6" s="31"/>
      <c r="B6" s="32"/>
      <c r="M6" s="23"/>
      <c r="N6" s="53"/>
      <c r="O6" s="49"/>
    </row>
    <row r="7" spans="1:16" x14ac:dyDescent="0.25">
      <c r="A7" s="31"/>
      <c r="B7" s="32"/>
      <c r="N7" s="52"/>
      <c r="O7" s="49"/>
    </row>
    <row r="8" spans="1:16" x14ac:dyDescent="0.25">
      <c r="A8" s="31"/>
      <c r="B8" s="32"/>
      <c r="N8" s="52" t="str">
        <f t="shared" si="0"/>
        <v/>
      </c>
      <c r="O8" s="49" t="str">
        <f t="shared" ref="O8:O50" si="1">IF(N8="","",N8/G8)</f>
        <v/>
      </c>
    </row>
    <row r="9" spans="1:16" x14ac:dyDescent="0.25">
      <c r="A9" s="31"/>
      <c r="B9" s="32"/>
      <c r="N9" s="52" t="str">
        <f t="shared" si="0"/>
        <v/>
      </c>
      <c r="O9" s="49" t="str">
        <f t="shared" si="1"/>
        <v/>
      </c>
    </row>
    <row r="10" spans="1:16" x14ac:dyDescent="0.25">
      <c r="A10" s="31"/>
      <c r="B10" s="32"/>
      <c r="N10" s="52" t="str">
        <f t="shared" si="0"/>
        <v/>
      </c>
      <c r="O10" s="49" t="str">
        <f t="shared" si="1"/>
        <v/>
      </c>
    </row>
    <row r="11" spans="1:16" x14ac:dyDescent="0.25">
      <c r="A11" s="31"/>
      <c r="B11" s="32"/>
      <c r="N11" s="52" t="str">
        <f t="shared" si="0"/>
        <v/>
      </c>
      <c r="O11" s="49" t="str">
        <f t="shared" si="1"/>
        <v/>
      </c>
    </row>
    <row r="12" spans="1:16" x14ac:dyDescent="0.25">
      <c r="B12" s="50"/>
      <c r="N12" s="52" t="str">
        <f t="shared" si="0"/>
        <v/>
      </c>
      <c r="O12" s="49" t="str">
        <f t="shared" si="1"/>
        <v/>
      </c>
    </row>
    <row r="13" spans="1:16" x14ac:dyDescent="0.25">
      <c r="B13" s="50"/>
      <c r="N13" s="52" t="str">
        <f t="shared" si="0"/>
        <v/>
      </c>
      <c r="O13" s="49" t="str">
        <f t="shared" si="1"/>
        <v/>
      </c>
    </row>
    <row r="14" spans="1:16" x14ac:dyDescent="0.25">
      <c r="B14" s="50"/>
      <c r="N14" s="52" t="str">
        <f t="shared" si="0"/>
        <v/>
      </c>
      <c r="O14" s="49" t="str">
        <f t="shared" si="1"/>
        <v/>
      </c>
    </row>
    <row r="15" spans="1:16" x14ac:dyDescent="0.25">
      <c r="N15" s="52" t="str">
        <f t="shared" si="0"/>
        <v/>
      </c>
      <c r="O15" s="49" t="str">
        <f t="shared" si="1"/>
        <v/>
      </c>
    </row>
    <row r="16" spans="1:16" x14ac:dyDescent="0.25">
      <c r="N16" s="52" t="str">
        <f t="shared" si="0"/>
        <v/>
      </c>
      <c r="O16" s="49" t="str">
        <f t="shared" si="1"/>
        <v/>
      </c>
    </row>
    <row r="17" spans="14:15" x14ac:dyDescent="0.25">
      <c r="N17" s="52" t="str">
        <f t="shared" si="0"/>
        <v/>
      </c>
      <c r="O17" s="49" t="str">
        <f t="shared" si="1"/>
        <v/>
      </c>
    </row>
    <row r="18" spans="14:15" x14ac:dyDescent="0.25">
      <c r="N18" s="52" t="str">
        <f t="shared" si="0"/>
        <v/>
      </c>
      <c r="O18" s="49" t="str">
        <f t="shared" si="1"/>
        <v/>
      </c>
    </row>
    <row r="19" spans="14:15" x14ac:dyDescent="0.25">
      <c r="N19" s="52" t="str">
        <f t="shared" si="0"/>
        <v/>
      </c>
      <c r="O19" s="49" t="str">
        <f t="shared" si="1"/>
        <v/>
      </c>
    </row>
    <row r="20" spans="14:15" x14ac:dyDescent="0.25">
      <c r="N20" s="52" t="str">
        <f t="shared" si="0"/>
        <v/>
      </c>
      <c r="O20" s="49" t="str">
        <f t="shared" si="1"/>
        <v/>
      </c>
    </row>
    <row r="21" spans="14:15" x14ac:dyDescent="0.25">
      <c r="N21" s="52" t="str">
        <f t="shared" si="0"/>
        <v/>
      </c>
      <c r="O21" s="49" t="str">
        <f t="shared" si="1"/>
        <v/>
      </c>
    </row>
    <row r="22" spans="14:15" x14ac:dyDescent="0.25">
      <c r="N22" s="52" t="str">
        <f t="shared" si="0"/>
        <v/>
      </c>
      <c r="O22" s="49" t="str">
        <f t="shared" si="1"/>
        <v/>
      </c>
    </row>
    <row r="23" spans="14:15" x14ac:dyDescent="0.25">
      <c r="N23" s="52" t="str">
        <f t="shared" si="0"/>
        <v/>
      </c>
      <c r="O23" s="49" t="str">
        <f t="shared" si="1"/>
        <v/>
      </c>
    </row>
    <row r="24" spans="14:15" x14ac:dyDescent="0.25">
      <c r="N24" s="52" t="str">
        <f t="shared" si="0"/>
        <v/>
      </c>
      <c r="O24" s="49" t="str">
        <f t="shared" si="1"/>
        <v/>
      </c>
    </row>
    <row r="25" spans="14:15" x14ac:dyDescent="0.25">
      <c r="N25" s="52" t="str">
        <f t="shared" si="0"/>
        <v/>
      </c>
      <c r="O25" s="49" t="str">
        <f t="shared" si="1"/>
        <v/>
      </c>
    </row>
    <row r="26" spans="14:15" x14ac:dyDescent="0.25">
      <c r="N26" s="52" t="str">
        <f t="shared" si="0"/>
        <v/>
      </c>
      <c r="O26" s="49" t="str">
        <f t="shared" si="1"/>
        <v/>
      </c>
    </row>
    <row r="27" spans="14:15" x14ac:dyDescent="0.25">
      <c r="N27" s="52" t="str">
        <f t="shared" si="0"/>
        <v/>
      </c>
      <c r="O27" s="49" t="str">
        <f t="shared" si="1"/>
        <v/>
      </c>
    </row>
    <row r="28" spans="14:15" x14ac:dyDescent="0.25">
      <c r="N28" s="52" t="str">
        <f t="shared" si="0"/>
        <v/>
      </c>
      <c r="O28" s="49" t="str">
        <f t="shared" si="1"/>
        <v/>
      </c>
    </row>
    <row r="29" spans="14:15" x14ac:dyDescent="0.25">
      <c r="N29" s="52" t="str">
        <f t="shared" si="0"/>
        <v/>
      </c>
      <c r="O29" s="49" t="str">
        <f t="shared" si="1"/>
        <v/>
      </c>
    </row>
    <row r="30" spans="14:15" x14ac:dyDescent="0.25">
      <c r="N30" s="52" t="str">
        <f t="shared" si="0"/>
        <v/>
      </c>
      <c r="O30" s="49" t="str">
        <f t="shared" si="1"/>
        <v/>
      </c>
    </row>
    <row r="31" spans="14:15" x14ac:dyDescent="0.25">
      <c r="N31" s="52" t="str">
        <f t="shared" si="0"/>
        <v/>
      </c>
      <c r="O31" s="49" t="str">
        <f t="shared" si="1"/>
        <v/>
      </c>
    </row>
    <row r="32" spans="14:15" x14ac:dyDescent="0.25">
      <c r="N32" s="52" t="str">
        <f t="shared" si="0"/>
        <v/>
      </c>
      <c r="O32" s="49" t="str">
        <f t="shared" si="1"/>
        <v/>
      </c>
    </row>
    <row r="33" spans="14:15" x14ac:dyDescent="0.25">
      <c r="N33" s="52" t="str">
        <f t="shared" si="0"/>
        <v/>
      </c>
      <c r="O33" s="49" t="str">
        <f t="shared" si="1"/>
        <v/>
      </c>
    </row>
    <row r="34" spans="14:15" x14ac:dyDescent="0.25">
      <c r="N34" s="52" t="str">
        <f t="shared" si="0"/>
        <v/>
      </c>
      <c r="O34" s="49" t="str">
        <f t="shared" si="1"/>
        <v/>
      </c>
    </row>
    <row r="35" spans="14:15" x14ac:dyDescent="0.25">
      <c r="N35" s="52" t="str">
        <f t="shared" si="0"/>
        <v/>
      </c>
      <c r="O35" s="49" t="str">
        <f t="shared" si="1"/>
        <v/>
      </c>
    </row>
    <row r="36" spans="14:15" x14ac:dyDescent="0.25">
      <c r="N36" s="52" t="str">
        <f t="shared" si="0"/>
        <v/>
      </c>
      <c r="O36" s="49" t="str">
        <f t="shared" si="1"/>
        <v/>
      </c>
    </row>
    <row r="37" spans="14:15" x14ac:dyDescent="0.25">
      <c r="N37" s="52" t="str">
        <f t="shared" si="0"/>
        <v/>
      </c>
      <c r="O37" s="49" t="str">
        <f t="shared" si="1"/>
        <v/>
      </c>
    </row>
    <row r="38" spans="14:15" x14ac:dyDescent="0.25">
      <c r="N38" s="52" t="str">
        <f t="shared" si="0"/>
        <v/>
      </c>
      <c r="O38" s="49" t="str">
        <f t="shared" si="1"/>
        <v/>
      </c>
    </row>
    <row r="39" spans="14:15" x14ac:dyDescent="0.25">
      <c r="N39" s="52" t="str">
        <f t="shared" si="0"/>
        <v/>
      </c>
      <c r="O39" s="49" t="str">
        <f t="shared" si="1"/>
        <v/>
      </c>
    </row>
    <row r="40" spans="14:15" x14ac:dyDescent="0.25">
      <c r="N40" s="52" t="str">
        <f t="shared" si="0"/>
        <v/>
      </c>
      <c r="O40" s="49" t="str">
        <f t="shared" si="1"/>
        <v/>
      </c>
    </row>
    <row r="41" spans="14:15" x14ac:dyDescent="0.25">
      <c r="N41" s="52" t="str">
        <f t="shared" si="0"/>
        <v/>
      </c>
      <c r="O41" s="49" t="str">
        <f t="shared" si="1"/>
        <v/>
      </c>
    </row>
    <row r="42" spans="14:15" x14ac:dyDescent="0.25">
      <c r="N42" s="52" t="str">
        <f t="shared" si="0"/>
        <v/>
      </c>
      <c r="O42" s="49" t="str">
        <f t="shared" si="1"/>
        <v/>
      </c>
    </row>
    <row r="43" spans="14:15" x14ac:dyDescent="0.25">
      <c r="N43" s="52" t="str">
        <f t="shared" si="0"/>
        <v/>
      </c>
      <c r="O43" s="49" t="str">
        <f t="shared" si="1"/>
        <v/>
      </c>
    </row>
    <row r="44" spans="14:15" x14ac:dyDescent="0.25">
      <c r="N44" s="52" t="str">
        <f t="shared" si="0"/>
        <v/>
      </c>
      <c r="O44" s="49" t="str">
        <f t="shared" si="1"/>
        <v/>
      </c>
    </row>
    <row r="45" spans="14:15" x14ac:dyDescent="0.25">
      <c r="N45" s="52" t="str">
        <f t="shared" si="0"/>
        <v/>
      </c>
      <c r="O45" s="49" t="str">
        <f t="shared" si="1"/>
        <v/>
      </c>
    </row>
    <row r="46" spans="14:15" x14ac:dyDescent="0.25">
      <c r="N46" s="52" t="str">
        <f t="shared" si="0"/>
        <v/>
      </c>
      <c r="O46" s="49" t="str">
        <f t="shared" si="1"/>
        <v/>
      </c>
    </row>
    <row r="47" spans="14:15" x14ac:dyDescent="0.25">
      <c r="N47" s="52" t="str">
        <f t="shared" si="0"/>
        <v/>
      </c>
      <c r="O47" s="49" t="str">
        <f t="shared" si="1"/>
        <v/>
      </c>
    </row>
    <row r="48" spans="14:15" x14ac:dyDescent="0.25">
      <c r="N48" s="52" t="str">
        <f t="shared" si="0"/>
        <v/>
      </c>
      <c r="O48" s="49" t="str">
        <f t="shared" si="1"/>
        <v/>
      </c>
    </row>
    <row r="49" spans="14:15" x14ac:dyDescent="0.25">
      <c r="N49" s="52" t="str">
        <f t="shared" si="0"/>
        <v/>
      </c>
      <c r="O49" s="49" t="str">
        <f t="shared" si="1"/>
        <v/>
      </c>
    </row>
    <row r="50" spans="14:15" x14ac:dyDescent="0.25">
      <c r="N50" s="52" t="str">
        <f t="shared" si="0"/>
        <v/>
      </c>
      <c r="O50" s="49" t="str">
        <f t="shared" si="1"/>
        <v/>
      </c>
    </row>
  </sheetData>
  <conditionalFormatting sqref="F1:G1">
    <cfRule type="cellIs" dxfId="5" priority="1" operator="equal">
      <formula>"Planning"</formula>
    </cfRule>
    <cfRule type="cellIs" dxfId="4" priority="2" operator="equal">
      <formula>"In Work"</formula>
    </cfRule>
    <cfRule type="cellIs" dxfId="3" priority="3" operator="equal">
      <formula>"Unopened"</formula>
    </cfRule>
  </conditionalFormatting>
  <dataValidations count="1">
    <dataValidation allowBlank="1" showInputMessage="1" showErrorMessage="1" sqref="C1" xr:uid="{6D890CF4-D876-4FA9-B66E-C13148B32577}"/>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0506F-3BCF-4903-B1B8-49A04E6BE2B1}">
  <sheetPr codeName="Sheet11">
    <tabColor rgb="FF92D050"/>
  </sheetPr>
  <dimension ref="A1:M100"/>
  <sheetViews>
    <sheetView topLeftCell="B1" zoomScale="75" zoomScaleNormal="75" workbookViewId="0">
      <selection activeCell="J5" sqref="J5"/>
    </sheetView>
  </sheetViews>
  <sheetFormatPr defaultRowHeight="15" x14ac:dyDescent="0.25"/>
  <cols>
    <col min="1" max="1" width="7.7109375" style="4" hidden="1" customWidth="1"/>
    <col min="2" max="2" width="24" customWidth="1"/>
    <col min="3" max="3" width="12" style="4" customWidth="1"/>
    <col min="4" max="4" width="19.28515625" style="4" customWidth="1"/>
    <col min="5" max="5" width="47.5703125" customWidth="1"/>
    <col min="6" max="6" width="12.140625" style="4" customWidth="1"/>
    <col min="7" max="7" width="18.5703125" style="4" customWidth="1"/>
    <col min="8" max="8" width="11.7109375" style="44" customWidth="1"/>
    <col min="9" max="9" width="11.7109375" style="47" customWidth="1"/>
    <col min="10" max="10" width="13" style="77" customWidth="1"/>
    <col min="11" max="11" width="13" style="42" customWidth="1"/>
  </cols>
  <sheetData>
    <row r="1" spans="1:13" ht="39.75" customHeight="1" x14ac:dyDescent="0.25">
      <c r="B1" s="67" t="str">
        <f>'Item Usage'!B1</f>
        <v>ZZ383</v>
      </c>
      <c r="C1" s="39" t="s">
        <v>346</v>
      </c>
      <c r="D1" s="43"/>
      <c r="E1" s="37"/>
      <c r="F1" s="51"/>
      <c r="G1" s="35"/>
      <c r="H1" s="4"/>
      <c r="I1" s="44"/>
      <c r="J1" s="47"/>
      <c r="K1" s="73"/>
      <c r="L1" s="4"/>
    </row>
    <row r="2" spans="1:13" s="4" customFormat="1" ht="78.75" customHeight="1" x14ac:dyDescent="0.25">
      <c r="A2" s="98" t="s">
        <v>303</v>
      </c>
      <c r="B2" s="98" t="s">
        <v>91</v>
      </c>
      <c r="C2" s="98" t="s">
        <v>300</v>
      </c>
      <c r="D2" s="98" t="s">
        <v>89</v>
      </c>
      <c r="E2" s="98" t="s">
        <v>94</v>
      </c>
      <c r="F2" s="98" t="s">
        <v>95</v>
      </c>
      <c r="G2" s="98" t="s">
        <v>90</v>
      </c>
      <c r="H2" s="96" t="s">
        <v>299</v>
      </c>
      <c r="I2" s="96" t="s">
        <v>302</v>
      </c>
      <c r="J2" s="96" t="s">
        <v>88</v>
      </c>
      <c r="K2" s="96" t="s">
        <v>345</v>
      </c>
      <c r="M2" s="74"/>
    </row>
    <row r="3" spans="1:13" x14ac:dyDescent="0.25">
      <c r="A3" s="31" t="e" cm="1" vm="1">
        <f t="array" ref="A3">_xlfn.CHOOSECOLS(
    _xlfn.HSTACK(
        _xlfn._xlws.FILTER(
            ROW(Table_SITS[]),
            (Table_SITS[Selector]) *
            ((Table_SITS[Task Type Code] = "PT2-H") +
            (Table_SITS[Task Type Code] = "PT3-H") +
            (Table_SITS[Task Type Code] = "PT2-D") +
            (Table_SITS[Task Type Code] = "PT3-D"))
        ),
        _xlfn._xlws.FILTER(
            Table_SITS[],
            (Table_SITS[Selector]) *
            ((Table_SITS[Task Type Code] = "PT2-H") +
            (Table_SITS[Task Type Code] = "PT3-H") +
            (Table_SITS[Task Type Code] = "PT2-D") +
            (Table_SITS[Task Type Code] = "PT3-D"))
        )
    ),
    1, 20, 21, 18, 23, 24, 19, 13, 15
)</f>
        <v>#VALUE!</v>
      </c>
      <c r="B3" s="32"/>
      <c r="C3" s="31"/>
      <c r="D3" s="31"/>
      <c r="E3" s="32"/>
      <c r="F3" s="31"/>
      <c r="G3" s="75"/>
      <c r="H3" s="45"/>
      <c r="I3" s="79"/>
      <c r="J3" s="75"/>
      <c r="K3" s="106" t="str">
        <f>IF(ISBLANK(B3), "", IF(H3="---", I3 + J3, IF(I3="---", H3 + J3, H3 + I3)))</f>
        <v/>
      </c>
    </row>
    <row r="4" spans="1:13" x14ac:dyDescent="0.25">
      <c r="G4" s="23"/>
      <c r="I4" s="80"/>
      <c r="J4" s="76"/>
      <c r="K4" s="106" t="str">
        <f t="shared" ref="K4:K67" si="0">IF(ISBLANK(B4), "", IF(H4="---", I4 + J4, IF(I4="---", H4 + J4, H4 + I4)))</f>
        <v/>
      </c>
    </row>
    <row r="5" spans="1:13" x14ac:dyDescent="0.25">
      <c r="A5" s="31"/>
      <c r="B5" s="32"/>
      <c r="G5" s="23"/>
      <c r="I5" s="80"/>
      <c r="J5" s="76"/>
      <c r="K5" s="72" t="str">
        <f>IF(ISBLANK(B5), "", IF(H5="---", I5 + J5, IF(I5="---", H5 + J5, H5 + I5)))</f>
        <v/>
      </c>
    </row>
    <row r="6" spans="1:13" x14ac:dyDescent="0.25">
      <c r="A6" s="31"/>
      <c r="B6" s="32"/>
      <c r="G6" s="23"/>
      <c r="I6" s="80"/>
      <c r="J6" s="76"/>
      <c r="K6" s="72" t="str">
        <f t="shared" si="0"/>
        <v/>
      </c>
    </row>
    <row r="7" spans="1:13" x14ac:dyDescent="0.25">
      <c r="A7" s="31"/>
      <c r="B7" s="32"/>
      <c r="K7" s="71" t="str">
        <f t="shared" si="0"/>
        <v/>
      </c>
    </row>
    <row r="8" spans="1:13" x14ac:dyDescent="0.25">
      <c r="A8" s="31"/>
      <c r="B8" s="32"/>
      <c r="K8" s="71" t="str">
        <f t="shared" si="0"/>
        <v/>
      </c>
    </row>
    <row r="9" spans="1:13" x14ac:dyDescent="0.25">
      <c r="A9" s="31"/>
      <c r="B9" s="32"/>
      <c r="K9" s="71" t="str">
        <f t="shared" si="0"/>
        <v/>
      </c>
    </row>
    <row r="10" spans="1:13" x14ac:dyDescent="0.25">
      <c r="A10" s="31"/>
      <c r="B10" s="32"/>
      <c r="K10" s="71" t="str">
        <f t="shared" si="0"/>
        <v/>
      </c>
    </row>
    <row r="11" spans="1:13" x14ac:dyDescent="0.25">
      <c r="A11" s="31"/>
      <c r="B11" s="32"/>
      <c r="K11" s="71" t="str">
        <f t="shared" si="0"/>
        <v/>
      </c>
    </row>
    <row r="12" spans="1:13" x14ac:dyDescent="0.25">
      <c r="B12" s="50"/>
      <c r="K12" s="71" t="str">
        <f t="shared" si="0"/>
        <v/>
      </c>
    </row>
    <row r="13" spans="1:13" x14ac:dyDescent="0.25">
      <c r="B13" s="50"/>
      <c r="K13" s="71" t="str">
        <f t="shared" si="0"/>
        <v/>
      </c>
    </row>
    <row r="14" spans="1:13" x14ac:dyDescent="0.25">
      <c r="B14" s="50"/>
      <c r="K14" s="71" t="str">
        <f t="shared" si="0"/>
        <v/>
      </c>
    </row>
    <row r="15" spans="1:13" x14ac:dyDescent="0.25">
      <c r="K15" s="71" t="str">
        <f t="shared" si="0"/>
        <v/>
      </c>
    </row>
    <row r="16" spans="1:13" x14ac:dyDescent="0.25">
      <c r="K16" s="71" t="str">
        <f t="shared" si="0"/>
        <v/>
      </c>
    </row>
    <row r="17" spans="11:11" x14ac:dyDescent="0.25">
      <c r="K17" s="71" t="str">
        <f t="shared" si="0"/>
        <v/>
      </c>
    </row>
    <row r="18" spans="11:11" x14ac:dyDescent="0.25">
      <c r="K18" s="71" t="str">
        <f t="shared" si="0"/>
        <v/>
      </c>
    </row>
    <row r="19" spans="11:11" x14ac:dyDescent="0.25">
      <c r="K19" s="71" t="str">
        <f t="shared" si="0"/>
        <v/>
      </c>
    </row>
    <row r="20" spans="11:11" x14ac:dyDescent="0.25">
      <c r="K20" s="71" t="str">
        <f t="shared" si="0"/>
        <v/>
      </c>
    </row>
    <row r="21" spans="11:11" x14ac:dyDescent="0.25">
      <c r="K21" s="71" t="str">
        <f t="shared" si="0"/>
        <v/>
      </c>
    </row>
    <row r="22" spans="11:11" x14ac:dyDescent="0.25">
      <c r="K22" s="71" t="str">
        <f t="shared" si="0"/>
        <v/>
      </c>
    </row>
    <row r="23" spans="11:11" x14ac:dyDescent="0.25">
      <c r="K23" s="71" t="str">
        <f t="shared" si="0"/>
        <v/>
      </c>
    </row>
    <row r="24" spans="11:11" x14ac:dyDescent="0.25">
      <c r="K24" s="71" t="str">
        <f t="shared" si="0"/>
        <v/>
      </c>
    </row>
    <row r="25" spans="11:11" x14ac:dyDescent="0.25">
      <c r="K25" s="71" t="str">
        <f t="shared" si="0"/>
        <v/>
      </c>
    </row>
    <row r="26" spans="11:11" x14ac:dyDescent="0.25">
      <c r="K26" s="71" t="str">
        <f t="shared" si="0"/>
        <v/>
      </c>
    </row>
    <row r="27" spans="11:11" x14ac:dyDescent="0.25">
      <c r="K27" s="71" t="str">
        <f t="shared" si="0"/>
        <v/>
      </c>
    </row>
    <row r="28" spans="11:11" x14ac:dyDescent="0.25">
      <c r="K28" s="71" t="str">
        <f t="shared" si="0"/>
        <v/>
      </c>
    </row>
    <row r="29" spans="11:11" x14ac:dyDescent="0.25">
      <c r="K29" s="71" t="str">
        <f t="shared" si="0"/>
        <v/>
      </c>
    </row>
    <row r="30" spans="11:11" x14ac:dyDescent="0.25">
      <c r="K30" s="71" t="str">
        <f t="shared" si="0"/>
        <v/>
      </c>
    </row>
    <row r="31" spans="11:11" x14ac:dyDescent="0.25">
      <c r="K31" s="71" t="str">
        <f t="shared" si="0"/>
        <v/>
      </c>
    </row>
    <row r="32" spans="11:11" x14ac:dyDescent="0.25">
      <c r="K32" s="71" t="str">
        <f t="shared" si="0"/>
        <v/>
      </c>
    </row>
    <row r="33" spans="11:11" x14ac:dyDescent="0.25">
      <c r="K33" s="71" t="str">
        <f t="shared" si="0"/>
        <v/>
      </c>
    </row>
    <row r="34" spans="11:11" x14ac:dyDescent="0.25">
      <c r="K34" s="71" t="str">
        <f t="shared" si="0"/>
        <v/>
      </c>
    </row>
    <row r="35" spans="11:11" x14ac:dyDescent="0.25">
      <c r="K35" s="71" t="str">
        <f t="shared" si="0"/>
        <v/>
      </c>
    </row>
    <row r="36" spans="11:11" x14ac:dyDescent="0.25">
      <c r="K36" s="71" t="str">
        <f t="shared" si="0"/>
        <v/>
      </c>
    </row>
    <row r="37" spans="11:11" x14ac:dyDescent="0.25">
      <c r="K37" s="71" t="str">
        <f t="shared" si="0"/>
        <v/>
      </c>
    </row>
    <row r="38" spans="11:11" x14ac:dyDescent="0.25">
      <c r="K38" s="71" t="str">
        <f t="shared" si="0"/>
        <v/>
      </c>
    </row>
    <row r="39" spans="11:11" x14ac:dyDescent="0.25">
      <c r="K39" s="71" t="str">
        <f t="shared" si="0"/>
        <v/>
      </c>
    </row>
    <row r="40" spans="11:11" x14ac:dyDescent="0.25">
      <c r="K40" s="71" t="str">
        <f t="shared" si="0"/>
        <v/>
      </c>
    </row>
    <row r="41" spans="11:11" x14ac:dyDescent="0.25">
      <c r="K41" s="71" t="str">
        <f t="shared" si="0"/>
        <v/>
      </c>
    </row>
    <row r="42" spans="11:11" x14ac:dyDescent="0.25">
      <c r="K42" s="71" t="str">
        <f t="shared" si="0"/>
        <v/>
      </c>
    </row>
    <row r="43" spans="11:11" x14ac:dyDescent="0.25">
      <c r="K43" s="71" t="str">
        <f t="shared" si="0"/>
        <v/>
      </c>
    </row>
    <row r="44" spans="11:11" x14ac:dyDescent="0.25">
      <c r="K44" s="71" t="str">
        <f t="shared" si="0"/>
        <v/>
      </c>
    </row>
    <row r="45" spans="11:11" x14ac:dyDescent="0.25">
      <c r="K45" s="71" t="str">
        <f t="shared" si="0"/>
        <v/>
      </c>
    </row>
    <row r="46" spans="11:11" x14ac:dyDescent="0.25">
      <c r="K46" s="71" t="str">
        <f t="shared" si="0"/>
        <v/>
      </c>
    </row>
    <row r="47" spans="11:11" x14ac:dyDescent="0.25">
      <c r="K47" s="71" t="str">
        <f t="shared" si="0"/>
        <v/>
      </c>
    </row>
    <row r="48" spans="11:11" x14ac:dyDescent="0.25">
      <c r="K48" s="71" t="str">
        <f t="shared" si="0"/>
        <v/>
      </c>
    </row>
    <row r="49" spans="11:11" x14ac:dyDescent="0.25">
      <c r="K49" s="71" t="str">
        <f t="shared" si="0"/>
        <v/>
      </c>
    </row>
    <row r="50" spans="11:11" x14ac:dyDescent="0.25">
      <c r="K50" s="71" t="str">
        <f t="shared" si="0"/>
        <v/>
      </c>
    </row>
    <row r="51" spans="11:11" x14ac:dyDescent="0.25">
      <c r="K51" s="71" t="str">
        <f t="shared" si="0"/>
        <v/>
      </c>
    </row>
    <row r="52" spans="11:11" x14ac:dyDescent="0.25">
      <c r="K52" s="71" t="str">
        <f t="shared" si="0"/>
        <v/>
      </c>
    </row>
    <row r="53" spans="11:11" x14ac:dyDescent="0.25">
      <c r="K53" s="71" t="str">
        <f t="shared" si="0"/>
        <v/>
      </c>
    </row>
    <row r="54" spans="11:11" x14ac:dyDescent="0.25">
      <c r="K54" s="71" t="str">
        <f t="shared" si="0"/>
        <v/>
      </c>
    </row>
    <row r="55" spans="11:11" x14ac:dyDescent="0.25">
      <c r="K55" s="71" t="str">
        <f t="shared" si="0"/>
        <v/>
      </c>
    </row>
    <row r="56" spans="11:11" x14ac:dyDescent="0.25">
      <c r="K56" s="71" t="str">
        <f t="shared" si="0"/>
        <v/>
      </c>
    </row>
    <row r="57" spans="11:11" x14ac:dyDescent="0.25">
      <c r="K57" s="71" t="str">
        <f t="shared" si="0"/>
        <v/>
      </c>
    </row>
    <row r="58" spans="11:11" x14ac:dyDescent="0.25">
      <c r="K58" s="71" t="str">
        <f t="shared" si="0"/>
        <v/>
      </c>
    </row>
    <row r="59" spans="11:11" x14ac:dyDescent="0.25">
      <c r="K59" s="71" t="str">
        <f t="shared" si="0"/>
        <v/>
      </c>
    </row>
    <row r="60" spans="11:11" x14ac:dyDescent="0.25">
      <c r="K60" s="71" t="str">
        <f t="shared" si="0"/>
        <v/>
      </c>
    </row>
    <row r="61" spans="11:11" x14ac:dyDescent="0.25">
      <c r="K61" s="71" t="str">
        <f t="shared" si="0"/>
        <v/>
      </c>
    </row>
    <row r="62" spans="11:11" x14ac:dyDescent="0.25">
      <c r="K62" s="71" t="str">
        <f t="shared" si="0"/>
        <v/>
      </c>
    </row>
    <row r="63" spans="11:11" x14ac:dyDescent="0.25">
      <c r="K63" s="71" t="str">
        <f t="shared" si="0"/>
        <v/>
      </c>
    </row>
    <row r="64" spans="11:11" x14ac:dyDescent="0.25">
      <c r="K64" s="71" t="str">
        <f t="shared" si="0"/>
        <v/>
      </c>
    </row>
    <row r="65" spans="11:11" x14ac:dyDescent="0.25">
      <c r="K65" s="71" t="str">
        <f t="shared" si="0"/>
        <v/>
      </c>
    </row>
    <row r="66" spans="11:11" x14ac:dyDescent="0.25">
      <c r="K66" s="71" t="str">
        <f t="shared" si="0"/>
        <v/>
      </c>
    </row>
    <row r="67" spans="11:11" x14ac:dyDescent="0.25">
      <c r="K67" s="71" t="str">
        <f t="shared" si="0"/>
        <v/>
      </c>
    </row>
    <row r="68" spans="11:11" x14ac:dyDescent="0.25">
      <c r="K68" s="71" t="str">
        <f t="shared" ref="K68:K100" si="1">IF(ISBLANK(B68), "", IF(H68="---", I68 + J68, IF(I68="---", H68 + J68, H68 + I68)))</f>
        <v/>
      </c>
    </row>
    <row r="69" spans="11:11" x14ac:dyDescent="0.25">
      <c r="K69" s="71" t="str">
        <f t="shared" si="1"/>
        <v/>
      </c>
    </row>
    <row r="70" spans="11:11" x14ac:dyDescent="0.25">
      <c r="K70" s="71" t="str">
        <f t="shared" si="1"/>
        <v/>
      </c>
    </row>
    <row r="71" spans="11:11" x14ac:dyDescent="0.25">
      <c r="K71" s="71" t="str">
        <f t="shared" si="1"/>
        <v/>
      </c>
    </row>
    <row r="72" spans="11:11" x14ac:dyDescent="0.25">
      <c r="K72" s="71" t="str">
        <f t="shared" si="1"/>
        <v/>
      </c>
    </row>
    <row r="73" spans="11:11" x14ac:dyDescent="0.25">
      <c r="K73" s="71" t="str">
        <f t="shared" si="1"/>
        <v/>
      </c>
    </row>
    <row r="74" spans="11:11" x14ac:dyDescent="0.25">
      <c r="K74" s="71" t="str">
        <f t="shared" si="1"/>
        <v/>
      </c>
    </row>
    <row r="75" spans="11:11" x14ac:dyDescent="0.25">
      <c r="K75" s="71" t="str">
        <f t="shared" si="1"/>
        <v/>
      </c>
    </row>
    <row r="76" spans="11:11" x14ac:dyDescent="0.25">
      <c r="K76" s="71" t="str">
        <f t="shared" si="1"/>
        <v/>
      </c>
    </row>
    <row r="77" spans="11:11" x14ac:dyDescent="0.25">
      <c r="K77" s="71" t="str">
        <f t="shared" si="1"/>
        <v/>
      </c>
    </row>
    <row r="78" spans="11:11" x14ac:dyDescent="0.25">
      <c r="K78" s="71" t="str">
        <f t="shared" si="1"/>
        <v/>
      </c>
    </row>
    <row r="79" spans="11:11" x14ac:dyDescent="0.25">
      <c r="K79" s="71" t="str">
        <f t="shared" si="1"/>
        <v/>
      </c>
    </row>
    <row r="80" spans="11:11" x14ac:dyDescent="0.25">
      <c r="K80" s="71" t="str">
        <f t="shared" si="1"/>
        <v/>
      </c>
    </row>
    <row r="81" spans="11:11" x14ac:dyDescent="0.25">
      <c r="K81" s="71" t="str">
        <f t="shared" si="1"/>
        <v/>
      </c>
    </row>
    <row r="82" spans="11:11" x14ac:dyDescent="0.25">
      <c r="K82" s="71" t="str">
        <f t="shared" si="1"/>
        <v/>
      </c>
    </row>
    <row r="83" spans="11:11" x14ac:dyDescent="0.25">
      <c r="K83" s="71" t="str">
        <f t="shared" si="1"/>
        <v/>
      </c>
    </row>
    <row r="84" spans="11:11" x14ac:dyDescent="0.25">
      <c r="K84" s="71" t="str">
        <f t="shared" si="1"/>
        <v/>
      </c>
    </row>
    <row r="85" spans="11:11" x14ac:dyDescent="0.25">
      <c r="K85" s="71" t="str">
        <f t="shared" si="1"/>
        <v/>
      </c>
    </row>
    <row r="86" spans="11:11" x14ac:dyDescent="0.25">
      <c r="K86" s="71" t="str">
        <f t="shared" si="1"/>
        <v/>
      </c>
    </row>
    <row r="87" spans="11:11" x14ac:dyDescent="0.25">
      <c r="K87" s="71" t="str">
        <f t="shared" si="1"/>
        <v/>
      </c>
    </row>
    <row r="88" spans="11:11" x14ac:dyDescent="0.25">
      <c r="K88" s="71" t="str">
        <f t="shared" si="1"/>
        <v/>
      </c>
    </row>
    <row r="89" spans="11:11" x14ac:dyDescent="0.25">
      <c r="K89" s="71" t="str">
        <f t="shared" si="1"/>
        <v/>
      </c>
    </row>
    <row r="90" spans="11:11" x14ac:dyDescent="0.25">
      <c r="K90" s="71" t="str">
        <f t="shared" si="1"/>
        <v/>
      </c>
    </row>
    <row r="91" spans="11:11" x14ac:dyDescent="0.25">
      <c r="K91" s="71" t="str">
        <f t="shared" si="1"/>
        <v/>
      </c>
    </row>
    <row r="92" spans="11:11" x14ac:dyDescent="0.25">
      <c r="K92" s="71" t="str">
        <f t="shared" si="1"/>
        <v/>
      </c>
    </row>
    <row r="93" spans="11:11" x14ac:dyDescent="0.25">
      <c r="K93" s="71" t="str">
        <f t="shared" si="1"/>
        <v/>
      </c>
    </row>
    <row r="94" spans="11:11" x14ac:dyDescent="0.25">
      <c r="K94" s="71" t="str">
        <f t="shared" si="1"/>
        <v/>
      </c>
    </row>
    <row r="95" spans="11:11" x14ac:dyDescent="0.25">
      <c r="K95" s="71" t="str">
        <f t="shared" si="1"/>
        <v/>
      </c>
    </row>
    <row r="96" spans="11:11" x14ac:dyDescent="0.25">
      <c r="K96" s="71" t="str">
        <f t="shared" si="1"/>
        <v/>
      </c>
    </row>
    <row r="97" spans="11:11" x14ac:dyDescent="0.25">
      <c r="K97" s="71" t="str">
        <f t="shared" si="1"/>
        <v/>
      </c>
    </row>
    <row r="98" spans="11:11" x14ac:dyDescent="0.25">
      <c r="K98" s="71" t="str">
        <f t="shared" si="1"/>
        <v/>
      </c>
    </row>
    <row r="99" spans="11:11" x14ac:dyDescent="0.25">
      <c r="K99" s="71" t="str">
        <f t="shared" si="1"/>
        <v/>
      </c>
    </row>
    <row r="100" spans="11:11" x14ac:dyDescent="0.25">
      <c r="K100" s="71" t="str">
        <f t="shared" si="1"/>
        <v/>
      </c>
    </row>
  </sheetData>
  <conditionalFormatting sqref="F1:G1">
    <cfRule type="cellIs" dxfId="2" priority="1" operator="equal">
      <formula>"Planning"</formula>
    </cfRule>
    <cfRule type="cellIs" dxfId="1" priority="2" operator="equal">
      <formula>"In Work"</formula>
    </cfRule>
    <cfRule type="cellIs" dxfId="0" priority="3" operator="equal">
      <formula>"Unopened"</formula>
    </cfRule>
  </conditionalFormatting>
  <dataValidations count="1">
    <dataValidation allowBlank="1" showInputMessage="1" showErrorMessage="1" sqref="C1" xr:uid="{0584E495-DB0C-4430-B4EA-22BFFBD599A3}"/>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7506B-168B-4743-BD12-83386598A3D9}">
  <sheetPr codeName="Sheet5">
    <tabColor rgb="FFFF0000"/>
  </sheetPr>
  <dimension ref="A1:C1"/>
  <sheetViews>
    <sheetView workbookViewId="0">
      <selection activeCell="I15" sqref="I15"/>
    </sheetView>
  </sheetViews>
  <sheetFormatPr defaultRowHeight="15" x14ac:dyDescent="0.25"/>
  <cols>
    <col min="1" max="1" width="16.140625" bestFit="1" customWidth="1"/>
    <col min="2" max="2" width="10.5703125" bestFit="1" customWidth="1"/>
    <col min="3" max="3" width="8.42578125" bestFit="1" customWidth="1"/>
    <col min="15" max="15" width="18" customWidth="1"/>
  </cols>
  <sheetData>
    <row r="1" spans="1:3" x14ac:dyDescent="0.25">
      <c r="A1" t="s">
        <v>310</v>
      </c>
      <c r="B1" t="s">
        <v>311</v>
      </c>
      <c r="C1" t="s">
        <v>312</v>
      </c>
    </row>
  </sheetData>
  <sheetProtection selectLockedCells="1" selectUnlockedCell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7A96C-BBED-4848-9783-CC74DB067BB1}">
  <sheetPr codeName="Sheet3">
    <tabColor rgb="FFFF0000"/>
  </sheetPr>
  <dimension ref="A1:E40"/>
  <sheetViews>
    <sheetView topLeftCell="A8" workbookViewId="0">
      <selection activeCell="E37" sqref="E37"/>
    </sheetView>
  </sheetViews>
  <sheetFormatPr defaultRowHeight="15" x14ac:dyDescent="0.25"/>
  <cols>
    <col min="1" max="1" width="20" style="4" customWidth="1"/>
    <col min="2" max="2" width="18.140625" style="4" customWidth="1"/>
  </cols>
  <sheetData>
    <row r="1" spans="1:2" x14ac:dyDescent="0.25">
      <c r="A1" s="4" t="s">
        <v>84</v>
      </c>
      <c r="B1" s="4" t="s">
        <v>7</v>
      </c>
    </row>
    <row r="2" spans="1:2" x14ac:dyDescent="0.25">
      <c r="A2" s="4" t="s">
        <v>8</v>
      </c>
      <c r="B2" s="23">
        <f>'Item Usage'!D70</f>
        <v>720</v>
      </c>
    </row>
    <row r="3" spans="1:2" x14ac:dyDescent="0.25">
      <c r="A3" s="4" t="s">
        <v>18</v>
      </c>
      <c r="B3" s="23">
        <f>'Item Usage'!D71</f>
        <v>1300</v>
      </c>
    </row>
    <row r="4" spans="1:2" x14ac:dyDescent="0.25">
      <c r="A4" s="4" t="s">
        <v>20</v>
      </c>
      <c r="B4" s="23">
        <f>'Item Usage'!D72</f>
        <v>330</v>
      </c>
    </row>
    <row r="5" spans="1:2" x14ac:dyDescent="0.25">
      <c r="A5" s="4" t="s">
        <v>22</v>
      </c>
      <c r="B5" s="23">
        <f>'Item Usage'!D73</f>
        <v>62.05</v>
      </c>
    </row>
    <row r="6" spans="1:2" x14ac:dyDescent="0.25">
      <c r="A6" s="4" t="s">
        <v>24</v>
      </c>
      <c r="B6" s="23">
        <f>'Item Usage'!D74</f>
        <v>775</v>
      </c>
    </row>
    <row r="7" spans="1:2" x14ac:dyDescent="0.25">
      <c r="A7" s="4" t="s">
        <v>26</v>
      </c>
      <c r="B7" s="23">
        <f>'Item Usage'!D75</f>
        <v>0</v>
      </c>
    </row>
    <row r="8" spans="1:2" x14ac:dyDescent="0.25">
      <c r="A8" s="4" t="s">
        <v>30</v>
      </c>
      <c r="B8" s="23">
        <f>'Item Usage'!D76</f>
        <v>4067</v>
      </c>
    </row>
    <row r="9" spans="1:2" x14ac:dyDescent="0.25">
      <c r="A9" s="4" t="s">
        <v>32</v>
      </c>
      <c r="B9" s="23">
        <f>'Item Usage'!D77</f>
        <v>1436</v>
      </c>
    </row>
    <row r="10" spans="1:2" x14ac:dyDescent="0.25">
      <c r="A10" s="4" t="s">
        <v>34</v>
      </c>
      <c r="B10" s="23">
        <f>'Item Usage'!D78</f>
        <v>6386</v>
      </c>
    </row>
    <row r="11" spans="1:2" x14ac:dyDescent="0.25">
      <c r="A11" s="4" t="s">
        <v>36</v>
      </c>
      <c r="B11" s="23">
        <f>'Item Usage'!D79</f>
        <v>348</v>
      </c>
    </row>
    <row r="12" spans="1:2" x14ac:dyDescent="0.25">
      <c r="A12" s="4" t="s">
        <v>38</v>
      </c>
      <c r="B12" s="23">
        <f>'Item Usage'!D80</f>
        <v>1.78</v>
      </c>
    </row>
    <row r="13" spans="1:2" x14ac:dyDescent="0.25">
      <c r="A13" s="4" t="s">
        <v>40</v>
      </c>
      <c r="B13" s="23">
        <f>'Item Usage'!D81</f>
        <v>1</v>
      </c>
    </row>
    <row r="14" spans="1:2" x14ac:dyDescent="0.25">
      <c r="A14" s="4" t="s">
        <v>42</v>
      </c>
      <c r="B14" s="23">
        <f>'Item Usage'!D82</f>
        <v>1</v>
      </c>
    </row>
    <row r="15" spans="1:2" x14ac:dyDescent="0.25">
      <c r="A15" s="4" t="s">
        <v>45</v>
      </c>
      <c r="B15" s="23">
        <f>'Item Usage'!D83</f>
        <v>1082</v>
      </c>
    </row>
    <row r="16" spans="1:2" x14ac:dyDescent="0.25">
      <c r="A16" s="4" t="s">
        <v>47</v>
      </c>
      <c r="B16" s="23">
        <f>'Item Usage'!D84</f>
        <v>918.88</v>
      </c>
    </row>
    <row r="17" spans="1:2" x14ac:dyDescent="0.25">
      <c r="A17" s="4" t="s">
        <v>49</v>
      </c>
      <c r="B17" s="23">
        <f>'Item Usage'!D85</f>
        <v>3503</v>
      </c>
    </row>
    <row r="18" spans="1:2" x14ac:dyDescent="0.25">
      <c r="A18" s="4" t="s">
        <v>51</v>
      </c>
      <c r="B18" s="23">
        <f>'Item Usage'!D86</f>
        <v>3610</v>
      </c>
    </row>
    <row r="19" spans="1:2" x14ac:dyDescent="0.25">
      <c r="A19" s="4" t="s">
        <v>53</v>
      </c>
      <c r="B19" s="23">
        <f>'Item Usage'!D87</f>
        <v>0</v>
      </c>
    </row>
    <row r="20" spans="1:2" x14ac:dyDescent="0.25">
      <c r="A20" s="4" t="s">
        <v>55</v>
      </c>
      <c r="B20" s="23">
        <f>'Item Usage'!D88</f>
        <v>3.36</v>
      </c>
    </row>
    <row r="21" spans="1:2" x14ac:dyDescent="0.25">
      <c r="A21" s="4" t="s">
        <v>57</v>
      </c>
      <c r="B21" s="23">
        <f>'Item Usage'!D89</f>
        <v>1483</v>
      </c>
    </row>
    <row r="22" spans="1:2" x14ac:dyDescent="0.25">
      <c r="A22" s="4" t="s">
        <v>58</v>
      </c>
      <c r="B22" s="23">
        <f>'Item Usage'!D90</f>
        <v>1592.9699999999998</v>
      </c>
    </row>
    <row r="23" spans="1:2" x14ac:dyDescent="0.25">
      <c r="A23" s="4" t="s">
        <v>59</v>
      </c>
      <c r="B23" s="23">
        <f>'Item Usage'!D91</f>
        <v>2373</v>
      </c>
    </row>
    <row r="24" spans="1:2" x14ac:dyDescent="0.25">
      <c r="A24" s="4" t="s">
        <v>60</v>
      </c>
      <c r="B24" s="23">
        <f>'Item Usage'!D92</f>
        <v>2931.5</v>
      </c>
    </row>
    <row r="25" spans="1:2" x14ac:dyDescent="0.25">
      <c r="A25" s="4" t="s">
        <v>62</v>
      </c>
      <c r="B25" s="23">
        <f>'Item Usage'!D93</f>
        <v>0</v>
      </c>
    </row>
    <row r="26" spans="1:2" x14ac:dyDescent="0.25">
      <c r="A26" s="4" t="s">
        <v>64</v>
      </c>
      <c r="B26" s="23">
        <f>'Item Usage'!D94</f>
        <v>0</v>
      </c>
    </row>
    <row r="27" spans="1:2" x14ac:dyDescent="0.25">
      <c r="A27" s="4" t="s">
        <v>65</v>
      </c>
      <c r="B27" s="23">
        <f>'Item Usage'!D95</f>
        <v>24198</v>
      </c>
    </row>
    <row r="28" spans="1:2" x14ac:dyDescent="0.25">
      <c r="A28" s="4" t="s">
        <v>67</v>
      </c>
      <c r="B28" s="23">
        <f>'Item Usage'!D96</f>
        <v>1800</v>
      </c>
    </row>
    <row r="29" spans="1:2" x14ac:dyDescent="0.25">
      <c r="A29" s="4" t="s">
        <v>69</v>
      </c>
      <c r="B29" s="23">
        <f>'Item Usage'!D97</f>
        <v>0</v>
      </c>
    </row>
    <row r="30" spans="1:2" x14ac:dyDescent="0.25">
      <c r="A30" s="4" t="s">
        <v>71</v>
      </c>
      <c r="B30" s="23">
        <f>'Item Usage'!D98</f>
        <v>100</v>
      </c>
    </row>
    <row r="31" spans="1:2" x14ac:dyDescent="0.25">
      <c r="A31" s="4" t="s">
        <v>75</v>
      </c>
      <c r="B31" s="23">
        <f>'Item Usage'!D99</f>
        <v>0</v>
      </c>
    </row>
    <row r="32" spans="1:2" x14ac:dyDescent="0.25">
      <c r="A32" s="4" t="s">
        <v>77</v>
      </c>
      <c r="B32" s="23">
        <f>'Item Usage'!D100</f>
        <v>0</v>
      </c>
    </row>
    <row r="33" spans="1:5" x14ac:dyDescent="0.25">
      <c r="A33" s="4" t="s">
        <v>79</v>
      </c>
      <c r="B33" s="30">
        <f ca="1">'Item Usage'!D101</f>
        <v>44507</v>
      </c>
    </row>
    <row r="34" spans="1:5" x14ac:dyDescent="0.25">
      <c r="A34" s="4" t="s">
        <v>11</v>
      </c>
      <c r="B34" s="27">
        <f>'Item Usage'!D59</f>
        <v>0</v>
      </c>
    </row>
    <row r="35" spans="1:5" x14ac:dyDescent="0.25">
      <c r="A35" s="4" t="s">
        <v>14</v>
      </c>
      <c r="B35" s="27">
        <f>'Item Usage'!D60</f>
        <v>0.46875</v>
      </c>
    </row>
    <row r="36" spans="1:5" x14ac:dyDescent="0.25">
      <c r="A36" s="4" t="s">
        <v>16</v>
      </c>
      <c r="B36" s="27">
        <f>'Item Usage'!D61</f>
        <v>4.2006944444444452</v>
      </c>
    </row>
    <row r="37" spans="1:5" x14ac:dyDescent="0.25">
      <c r="A37" s="4" t="s">
        <v>28</v>
      </c>
      <c r="B37" s="27">
        <f>'Item Usage'!D62</f>
        <v>83.773611111111123</v>
      </c>
      <c r="E37" s="16">
        <f>Table_Usage[[#This Row],[Usage]]+Initiate!L19</f>
        <v>84.450694444444451</v>
      </c>
    </row>
    <row r="38" spans="1:5" x14ac:dyDescent="0.25">
      <c r="A38" s="4" t="s">
        <v>43</v>
      </c>
      <c r="B38" s="27">
        <f>'Item Usage'!D63</f>
        <v>97.156249999999986</v>
      </c>
    </row>
    <row r="39" spans="1:5" x14ac:dyDescent="0.25">
      <c r="A39" s="4" t="s">
        <v>56</v>
      </c>
      <c r="B39" s="27">
        <f>'Item Usage'!D64</f>
        <v>98.35208333333334</v>
      </c>
    </row>
    <row r="40" spans="1:5" x14ac:dyDescent="0.25">
      <c r="A40" s="4" t="s">
        <v>73</v>
      </c>
      <c r="B40" s="27">
        <f>'Item Usage'!D65</f>
        <v>2.7777777777777776E-2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7314-DE2F-4769-AE41-D68350CB1576}">
  <sheetPr codeName="Sheet10"/>
  <dimension ref="A1:F6"/>
  <sheetViews>
    <sheetView workbookViewId="0">
      <selection activeCell="A3" sqref="A3"/>
    </sheetView>
  </sheetViews>
  <sheetFormatPr defaultRowHeight="15" x14ac:dyDescent="0.25"/>
  <cols>
    <col min="1" max="1" width="20.7109375" style="84" customWidth="1"/>
    <col min="2" max="2" width="15.7109375" customWidth="1"/>
    <col min="3" max="3" width="20.7109375" customWidth="1"/>
    <col min="4" max="4" width="15.7109375" customWidth="1"/>
    <col min="5" max="5" width="50.7109375" customWidth="1"/>
    <col min="6" max="6" width="12.7109375" customWidth="1"/>
  </cols>
  <sheetData>
    <row r="1" spans="1:6" ht="78.75" customHeight="1" x14ac:dyDescent="0.25">
      <c r="A1" s="100" t="s">
        <v>354</v>
      </c>
      <c r="B1" s="99" t="s">
        <v>355</v>
      </c>
      <c r="C1" s="99" t="s">
        <v>356</v>
      </c>
      <c r="D1" s="99" t="s">
        <v>310</v>
      </c>
      <c r="E1" s="99" t="s">
        <v>357</v>
      </c>
      <c r="F1" s="99" t="s">
        <v>358</v>
      </c>
    </row>
    <row r="2" spans="1:6" x14ac:dyDescent="0.25">
      <c r="A2" s="84">
        <v>44501.424976851849</v>
      </c>
      <c r="B2" t="s">
        <v>465</v>
      </c>
      <c r="C2" t="s">
        <v>466</v>
      </c>
      <c r="E2" t="s">
        <v>769</v>
      </c>
      <c r="F2">
        <v>16</v>
      </c>
    </row>
    <row r="3" spans="1:6" x14ac:dyDescent="0.25">
      <c r="A3" s="84">
        <v>44507.825243055559</v>
      </c>
      <c r="B3" t="s">
        <v>465</v>
      </c>
      <c r="C3" t="s">
        <v>772</v>
      </c>
      <c r="D3" t="s">
        <v>771</v>
      </c>
      <c r="E3" t="s">
        <v>773</v>
      </c>
      <c r="F3">
        <v>16</v>
      </c>
    </row>
    <row r="4" spans="1:6" x14ac:dyDescent="0.25">
      <c r="A4" s="84">
        <v>44507.826284722221</v>
      </c>
      <c r="B4" t="s">
        <v>465</v>
      </c>
      <c r="C4" t="s">
        <v>775</v>
      </c>
      <c r="D4" t="s">
        <v>771</v>
      </c>
      <c r="E4" t="s">
        <v>776</v>
      </c>
      <c r="F4">
        <v>16</v>
      </c>
    </row>
    <row r="5" spans="1:6" x14ac:dyDescent="0.25">
      <c r="A5" s="84">
        <v>44507.8278125</v>
      </c>
      <c r="B5" t="s">
        <v>465</v>
      </c>
      <c r="C5" t="s">
        <v>772</v>
      </c>
      <c r="D5" t="s">
        <v>777</v>
      </c>
      <c r="E5" t="s">
        <v>778</v>
      </c>
      <c r="F5">
        <v>16</v>
      </c>
    </row>
    <row r="6" spans="1:6" x14ac:dyDescent="0.25">
      <c r="A6" s="84">
        <v>44507.827881944446</v>
      </c>
      <c r="B6" t="s">
        <v>465</v>
      </c>
      <c r="C6" t="s">
        <v>775</v>
      </c>
      <c r="D6" t="s">
        <v>777</v>
      </c>
      <c r="E6" t="s">
        <v>779</v>
      </c>
      <c r="F6">
        <v>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21D2-E947-4189-B58E-06387806B367}">
  <sheetPr codeName="Sheet12"/>
  <dimension ref="A1:A4"/>
  <sheetViews>
    <sheetView workbookViewId="0">
      <selection activeCell="A6" sqref="A6"/>
    </sheetView>
  </sheetViews>
  <sheetFormatPr defaultRowHeight="15" x14ac:dyDescent="0.25"/>
  <sheetData>
    <row r="1" spans="1:1" x14ac:dyDescent="0.25">
      <c r="A1" t="s">
        <v>463</v>
      </c>
    </row>
    <row r="2" spans="1:1" x14ac:dyDescent="0.25">
      <c r="A2" t="s">
        <v>462</v>
      </c>
    </row>
    <row r="3" spans="1:1" x14ac:dyDescent="0.25">
      <c r="A3" t="s">
        <v>464</v>
      </c>
    </row>
    <row r="4" spans="1:1" x14ac:dyDescent="0.25">
      <c r="A4" s="132" t="s">
        <v>770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scriptId id="ms-officescript%3A%2F%2Fonedrive_business_itemlink%2F01HQHQEZZXWDGXRA6AOJF3P254SHJ2PCRY:ms-officescript%3A%2F%2Fonedrive_business_sharinglink%2Fu!aHR0cHM6Ly9tb2Rnb3Z1ay1teS5zaGFyZXBvaW50LmNvbS86dTovZy9wZXJzb25hbC9jaHJpc3RvcGhlcl9mbHlubjEwNF9tb2RfZ292X3VrL0VUZXd6WGlEd0hKTHQtdThrZE9uaWpnQnJCT1Jzek5qX3QwbC03RTg0MkpSdUE"/>
</scriptIds>
</file>

<file path=customXml/itemProps1.xml><?xml version="1.0" encoding="utf-8"?>
<ds:datastoreItem xmlns:ds="http://schemas.openxmlformats.org/officeDocument/2006/customXml" ds:itemID="{B75389A4-3B3F-431C-966B-3EC5C80084BF}">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USAGE IMPORT</vt:lpstr>
      <vt:lpstr>Item Usage</vt:lpstr>
      <vt:lpstr>SITS IMPORT</vt:lpstr>
      <vt:lpstr>Initiate</vt:lpstr>
      <vt:lpstr>SITS</vt:lpstr>
      <vt:lpstr>Add Tasks</vt:lpstr>
      <vt:lpstr>Create WP</vt:lpstr>
      <vt:lpstr>Work Packages</vt:lpstr>
      <vt:lpstr>Extensions</vt:lpstr>
      <vt:lpstr>Deferrals</vt:lpstr>
      <vt:lpstr>WP_STATE</vt:lpstr>
      <vt:lpstr>Usage Tables</vt:lpstr>
      <vt:lpstr>AUDIT_LOG</vt:lpstr>
      <vt:lpstr>TODO</vt:lpstr>
      <vt:lpstr>Active_WP</vt:lpstr>
      <vt:lpstr>Extension_SNOW</vt:lpstr>
      <vt:lpstr>Deferrals!Extension_SNOW_Deferrals</vt:lpstr>
      <vt:lpstr>New_WP_ORN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Boyer, Joseph SSgt (1AAC-WKSP-661SMG-Artificer 01)</dc:creator>
  <cp:keywords/>
  <dc:description/>
  <cp:lastModifiedBy>Flynn, Christopher Sgt (1AAC-WKSP-659SMG-SenSupAv02)</cp:lastModifiedBy>
  <cp:revision/>
  <dcterms:created xsi:type="dcterms:W3CDTF">2025-10-12T14:47:54Z</dcterms:created>
  <dcterms:modified xsi:type="dcterms:W3CDTF">2025-11-08T23:15:35Z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8a60473-494b-4586-a1bb-b0e663054676_Enabled">
    <vt:lpwstr>true</vt:lpwstr>
  </property>
  <property fmtid="{D5CDD505-2E9C-101B-9397-08002B2CF9AE}" pid="3" name="MSIP_Label_d8a60473-494b-4586-a1bb-b0e663054676_SetDate">
    <vt:lpwstr>2025-10-12T15:29:53Z</vt:lpwstr>
  </property>
  <property fmtid="{D5CDD505-2E9C-101B-9397-08002B2CF9AE}" pid="4" name="MSIP_Label_d8a60473-494b-4586-a1bb-b0e663054676_Method">
    <vt:lpwstr>Privileged</vt:lpwstr>
  </property>
  <property fmtid="{D5CDD505-2E9C-101B-9397-08002B2CF9AE}" pid="5" name="MSIP_Label_d8a60473-494b-4586-a1bb-b0e663054676_Name">
    <vt:lpwstr>MOD-1-O-‘UNMARKED’</vt:lpwstr>
  </property>
  <property fmtid="{D5CDD505-2E9C-101B-9397-08002B2CF9AE}" pid="6" name="MSIP_Label_d8a60473-494b-4586-a1bb-b0e663054676_SiteId">
    <vt:lpwstr>be7760ed-5953-484b-ae95-d0a16dfa09e5</vt:lpwstr>
  </property>
  <property fmtid="{D5CDD505-2E9C-101B-9397-08002B2CF9AE}" pid="7" name="MSIP_Label_d8a60473-494b-4586-a1bb-b0e663054676_ActionId">
    <vt:lpwstr>574ba024-7698-4c63-8252-f2f41a668c0c</vt:lpwstr>
  </property>
  <property fmtid="{D5CDD505-2E9C-101B-9397-08002B2CF9AE}" pid="8" name="MSIP_Label_d8a60473-494b-4586-a1bb-b0e663054676_ContentBits">
    <vt:lpwstr>0</vt:lpwstr>
  </property>
  <property fmtid="{D5CDD505-2E9C-101B-9397-08002B2CF9AE}" pid="9" name="MSIP_Label_d8a60473-494b-4586-a1bb-b0e663054676_Tag">
    <vt:lpwstr>10, 0, 1, 1</vt:lpwstr>
  </property>
</Properties>
</file>